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FDE52C1-AC94-416F-80B4-B8722954CF53}" xr6:coauthVersionLast="47" xr6:coauthVersionMax="47" xr10:uidLastSave="{00000000-0000-0000-0000-000000000000}"/>
  <bookViews>
    <workbookView xWindow="-120" yWindow="-120" windowWidth="20730" windowHeight="11040" tabRatio="955" xr2:uid="{00000000-000D-0000-FFFF-FFFF00000000}"/>
  </bookViews>
  <sheets>
    <sheet name="kasek jkt" sheetId="426" r:id="rId1"/>
    <sheet name="kasek bna" sheetId="433" r:id="rId2"/>
    <sheet name="mus bna" sheetId="434" r:id="rId3"/>
    <sheet name="Ade jkt1" sheetId="464" r:id="rId4"/>
  </sheets>
  <externalReferences>
    <externalReference r:id="rId5"/>
    <externalReference r:id="rId6"/>
  </externalReferences>
  <definedNames>
    <definedName name="_xlnm.Print_Area" localSheetId="3">'Ade jkt1'!$A$1:$J$54</definedName>
    <definedName name="_xlnm.Print_Area" localSheetId="1">'kasek bna'!$A$1:$J$48</definedName>
    <definedName name="_xlnm.Print_Area" localSheetId="0">'kasek jkt'!$A$1:$J$54</definedName>
    <definedName name="_xlnm.Print_Area" localSheetId="2">'mus bna'!$A$1:$J$48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" i="464" l="1"/>
  <c r="N33" i="464"/>
  <c r="N26" i="464"/>
  <c r="I25" i="464"/>
  <c r="I24" i="464"/>
  <c r="I21" i="464"/>
  <c r="I20" i="464"/>
  <c r="I19" i="464"/>
  <c r="I15" i="464"/>
  <c r="I12" i="464"/>
  <c r="I11" i="464"/>
  <c r="I26" i="464" s="1"/>
  <c r="C32" i="464" s="1"/>
  <c r="I32" i="464" s="1"/>
  <c r="G45" i="464" s="1"/>
  <c r="M9" i="464"/>
  <c r="I16" i="426" l="1"/>
  <c r="I26" i="426" s="1"/>
  <c r="I33" i="434"/>
  <c r="I18" i="434"/>
  <c r="M14" i="434"/>
  <c r="I14" i="434"/>
  <c r="I20" i="434" s="1"/>
  <c r="C26" i="434" s="1"/>
  <c r="I26" i="434" s="1"/>
  <c r="G39" i="434" s="1"/>
  <c r="M11" i="434"/>
  <c r="I11" i="434"/>
  <c r="M9" i="434"/>
  <c r="L5" i="434"/>
  <c r="I33" i="433"/>
  <c r="I18" i="433"/>
  <c r="M14" i="433"/>
  <c r="I14" i="433"/>
  <c r="M11" i="433"/>
  <c r="I11" i="433"/>
  <c r="M9" i="433"/>
  <c r="L5" i="433"/>
  <c r="J20" i="434" a="1"/>
  <c r="I20" i="433" l="1"/>
  <c r="J20" i="434"/>
  <c r="I21" i="426"/>
  <c r="I39" i="426"/>
  <c r="N26" i="426"/>
  <c r="N33" i="426" s="1"/>
  <c r="I25" i="426"/>
  <c r="I22" i="426"/>
  <c r="I20" i="426"/>
  <c r="I13" i="426"/>
  <c r="I11" i="426"/>
  <c r="M9" i="426"/>
  <c r="J20" i="433" a="1"/>
  <c r="J20" i="433" l="1"/>
  <c r="C26" i="433"/>
  <c r="I26" i="433" s="1"/>
  <c r="G39" i="433" s="1"/>
  <c r="C32" i="426"/>
  <c r="I32" i="426" s="1"/>
  <c r="G45" i="426" s="1"/>
</calcChain>
</file>

<file path=xl/sharedStrings.xml><?xml version="1.0" encoding="utf-8"?>
<sst xmlns="http://schemas.openxmlformats.org/spreadsheetml/2006/main" count="227" uniqueCount="59">
  <si>
    <t>PERINCIAN BIAYA PERJALANAN DINAS</t>
  </si>
  <si>
    <t>Atas Nama</t>
  </si>
  <si>
    <t>:</t>
  </si>
  <si>
    <t>SPPD Nomor</t>
  </si>
  <si>
    <t>Tanggal</t>
  </si>
  <si>
    <t>No</t>
  </si>
  <si>
    <t>Perincian Biaya</t>
  </si>
  <si>
    <t>Jumlah</t>
  </si>
  <si>
    <t>Keterangan</t>
  </si>
  <si>
    <t>1.</t>
  </si>
  <si>
    <r>
      <rPr>
        <sz val="12"/>
        <rFont val="Calibri"/>
        <charset val="134"/>
        <scheme val="minor"/>
      </rPr>
      <t xml:space="preserve">  </t>
    </r>
    <r>
      <rPr>
        <u/>
        <sz val="12"/>
        <rFont val="Calibri"/>
        <charset val="134"/>
        <scheme val="minor"/>
      </rPr>
      <t>Uang Harian</t>
    </r>
  </si>
  <si>
    <t>Tingkat Satuan</t>
  </si>
  <si>
    <t>Hari x</t>
  </si>
  <si>
    <t>Rp.</t>
  </si>
  <si>
    <t>2.</t>
  </si>
  <si>
    <r>
      <rPr>
        <sz val="12"/>
        <rFont val="Calibri"/>
        <charset val="134"/>
        <scheme val="minor"/>
      </rPr>
      <t xml:space="preserve">  </t>
    </r>
    <r>
      <rPr>
        <u/>
        <sz val="12"/>
        <rFont val="Calibri"/>
        <charset val="134"/>
        <scheme val="minor"/>
      </rPr>
      <t>Penginapan</t>
    </r>
  </si>
  <si>
    <t>(terlampir)</t>
  </si>
  <si>
    <t>3.</t>
  </si>
  <si>
    <t xml:space="preserve">  Transport</t>
  </si>
  <si>
    <t xml:space="preserve">  Kendaraan Dinas (PP)</t>
  </si>
  <si>
    <t xml:space="preserve">  Dari  Sigli - Banda Aceh</t>
  </si>
  <si>
    <t>J u m l a h</t>
  </si>
  <si>
    <t>Telah dibayar sebesar</t>
  </si>
  <si>
    <t>Telah menerima uang sebesar</t>
  </si>
  <si>
    <t>Bendahara Pengeluaran Pembantu</t>
  </si>
  <si>
    <t>Yang Menerima</t>
  </si>
  <si>
    <t>MUSLIM</t>
  </si>
  <si>
    <t>Nip. 19840105 201001 1 005</t>
  </si>
  <si>
    <t>PERHITUNGAN SPPD RAMPUNG</t>
  </si>
  <si>
    <t>Ditetapkan sejumlah</t>
  </si>
  <si>
    <t>Yang telah dibayar semula</t>
  </si>
  <si>
    <t>Sisa kekurangan/lebih</t>
  </si>
  <si>
    <t>Pejabat Pembuat Komitmen</t>
  </si>
  <si>
    <t>FAUZI, S.Sos</t>
  </si>
  <si>
    <t>Nip. 19801231 199905 1 002</t>
  </si>
  <si>
    <t xml:space="preserve">  Kendaraan Umum (PP)</t>
  </si>
  <si>
    <r>
      <rPr>
        <sz val="12"/>
        <rFont val="Calibri"/>
        <charset val="134"/>
        <scheme val="minor"/>
      </rPr>
      <t xml:space="preserve">  </t>
    </r>
    <r>
      <rPr>
        <u/>
        <sz val="12"/>
        <rFont val="Calibri"/>
        <charset val="134"/>
        <scheme val="minor"/>
      </rPr>
      <t>Uang Saku</t>
    </r>
  </si>
  <si>
    <t xml:space="preserve">  Transportasi Udara (Pergi)</t>
  </si>
  <si>
    <t xml:space="preserve">  Taksi Bandara Hotel- Jakarta (PP)</t>
  </si>
  <si>
    <t xml:space="preserve">  Dari Banda Aceh - Jakarta </t>
  </si>
  <si>
    <t>28 s/d 30 Agustus 2024</t>
  </si>
  <si>
    <t>Fauzi, S.Sos</t>
  </si>
  <si>
    <t>19 s/d 22 Agustus 2024</t>
  </si>
  <si>
    <t>Sigli, 11 September 2024</t>
  </si>
  <si>
    <t>SPD-240800038</t>
  </si>
  <si>
    <t>Muslim</t>
  </si>
  <si>
    <t>SPD-240800039</t>
  </si>
  <si>
    <t>SPD-240800029</t>
  </si>
  <si>
    <t xml:space="preserve">  Dari Jakarta - Banda Aceh </t>
  </si>
  <si>
    <t>Sigli, 12 September 2024</t>
  </si>
  <si>
    <t xml:space="preserve">  Dari Jakarta - Banda Aceh</t>
  </si>
  <si>
    <t>Ade Dwi Putra, SE</t>
  </si>
  <si>
    <t xml:space="preserve">  Dari  Sigli - Banda Aceh </t>
  </si>
  <si>
    <t xml:space="preserve">  Dari  Banda Aceh - Bandara SIM </t>
  </si>
  <si>
    <t>Delapan juta tujuh ratus sembilan puluh delapan ribu sembilan ratus rupiah</t>
  </si>
  <si>
    <t>28 September s/d 03 Oktober 2024</t>
  </si>
  <si>
    <t>Sigli, 09 Oktober 2024</t>
  </si>
  <si>
    <t>Sembilan juta delapan ratus sembilan puluh enam ribu lima ratus rupiah</t>
  </si>
  <si>
    <t>SPD-240900038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</si>
</sst>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15">
    <font>
      <sz val="10"/>
      <name val="Arial"/>
      <charset val="134"/>
    </font>
    <font>
      <u/>
      <sz val="14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indexed="9"/>
      <name val="Calibri"/>
      <charset val="134"/>
      <scheme val="minor"/>
    </font>
    <font>
      <b/>
      <u/>
      <sz val="12"/>
      <name val="Calibri"/>
      <charset val="134"/>
      <scheme val="minor"/>
    </font>
    <font>
      <b/>
      <u/>
      <sz val="10"/>
      <name val="Arial"/>
      <charset val="134"/>
    </font>
    <font>
      <sz val="10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2"/>
      <name val="Calibri"/>
      <charset val="134"/>
      <scheme val="minor"/>
    </font>
    <font>
      <sz val="10"/>
      <name val="Arial"/>
      <charset val="134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76">
    <xf numFmtId="0" fontId="0" fillId="0" borderId="0" xfId="0"/>
    <xf numFmtId="165" fontId="0" fillId="0" borderId="0" xfId="1" applyNumberFormat="1" applyFont="1"/>
    <xf numFmtId="0" fontId="2" fillId="0" borderId="0" xfId="0" applyFont="1"/>
    <xf numFmtId="0" fontId="3" fillId="0" borderId="0" xfId="0" applyFont="1"/>
    <xf numFmtId="15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Border="1"/>
    <xf numFmtId="0" fontId="2" fillId="0" borderId="9" xfId="0" applyFont="1" applyBorder="1"/>
    <xf numFmtId="164" fontId="2" fillId="0" borderId="9" xfId="2" applyFont="1" applyBorder="1"/>
    <xf numFmtId="0" fontId="4" fillId="0" borderId="8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/>
    <xf numFmtId="0" fontId="2" fillId="0" borderId="8" xfId="0" applyFont="1" applyBorder="1" applyAlignment="1">
      <alignment horizontal="left"/>
    </xf>
    <xf numFmtId="164" fontId="2" fillId="0" borderId="9" xfId="2" applyFont="1" applyBorder="1" applyAlignment="1">
      <alignment horizontal="right"/>
    </xf>
    <xf numFmtId="0" fontId="2" fillId="0" borderId="10" xfId="0" applyFont="1" applyBorder="1"/>
    <xf numFmtId="0" fontId="2" fillId="0" borderId="11" xfId="0" applyFont="1" applyBorder="1"/>
    <xf numFmtId="164" fontId="2" fillId="0" borderId="0" xfId="0" applyNumberFormat="1" applyFont="1" applyAlignment="1">
      <alignment horizontal="center"/>
    </xf>
    <xf numFmtId="0" fontId="6" fillId="0" borderId="0" xfId="0" applyFont="1" applyAlignment="1"/>
    <xf numFmtId="0" fontId="0" fillId="0" borderId="0" xfId="0" applyFont="1" applyAlignment="1"/>
    <xf numFmtId="164" fontId="2" fillId="0" borderId="0" xfId="2" applyFont="1" applyFill="1"/>
    <xf numFmtId="164" fontId="2" fillId="0" borderId="0" xfId="2" applyFont="1"/>
    <xf numFmtId="0" fontId="7" fillId="0" borderId="0" xfId="0" applyFont="1"/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164" fontId="2" fillId="0" borderId="9" xfId="0" applyNumberFormat="1" applyFont="1" applyBorder="1"/>
    <xf numFmtId="0" fontId="0" fillId="0" borderId="13" xfId="0" applyBorder="1"/>
    <xf numFmtId="164" fontId="4" fillId="0" borderId="0" xfId="0" applyNumberFormat="1" applyFont="1" applyBorder="1"/>
    <xf numFmtId="0" fontId="4" fillId="0" borderId="13" xfId="0" applyFont="1" applyBorder="1" applyAlignment="1">
      <alignment horizontal="center"/>
    </xf>
    <xf numFmtId="164" fontId="2" fillId="0" borderId="0" xfId="0" applyNumberFormat="1" applyFont="1" applyBorder="1"/>
    <xf numFmtId="0" fontId="2" fillId="0" borderId="13" xfId="0" applyFont="1" applyBorder="1"/>
    <xf numFmtId="164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center"/>
    </xf>
    <xf numFmtId="164" fontId="2" fillId="0" borderId="13" xfId="0" applyNumberFormat="1" applyFont="1" applyBorder="1"/>
    <xf numFmtId="164" fontId="2" fillId="0" borderId="0" xfId="0" applyNumberFormat="1" applyFont="1" applyBorder="1" applyAlignment="1"/>
    <xf numFmtId="164" fontId="8" fillId="0" borderId="0" xfId="0" applyNumberFormat="1" applyFont="1" applyBorder="1"/>
    <xf numFmtId="164" fontId="2" fillId="0" borderId="6" xfId="0" applyNumberFormat="1" applyFont="1" applyBorder="1"/>
    <xf numFmtId="0" fontId="2" fillId="0" borderId="0" xfId="0" applyFont="1" applyAlignment="1">
      <alignment wrapText="1"/>
    </xf>
    <xf numFmtId="164" fontId="3" fillId="0" borderId="0" xfId="0" applyNumberFormat="1" applyFont="1"/>
    <xf numFmtId="0" fontId="2" fillId="0" borderId="0" xfId="0" quotePrefix="1" applyFont="1"/>
    <xf numFmtId="15" fontId="2" fillId="0" borderId="0" xfId="0" quotePrefix="1" applyNumberFormat="1" applyFont="1"/>
    <xf numFmtId="0" fontId="2" fillId="0" borderId="8" xfId="0" quotePrefix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quotePrefix="1" applyFont="1"/>
    <xf numFmtId="15" fontId="14" fillId="0" borderId="0" xfId="0" quotePrefix="1" applyNumberFormat="1" applyFont="1"/>
    <xf numFmtId="0" fontId="14" fillId="0" borderId="8" xfId="0" applyFont="1" applyBorder="1"/>
    <xf numFmtId="0" fontId="1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4" fontId="9" fillId="2" borderId="9" xfId="2" applyFont="1" applyFill="1" applyBorder="1"/>
    <xf numFmtId="0" fontId="9" fillId="2" borderId="0" xfId="0" applyFont="1" applyFill="1" applyBorder="1"/>
    <xf numFmtId="164" fontId="9" fillId="2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7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terbilang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rbilang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erbilang"/>
    </sheetNames>
    <definedNames>
      <definedName name="terbilang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erbilang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E55C-5FAB-4339-82A9-42952D70072F}">
  <sheetPr codeName="Sheet2">
    <tabColor theme="0"/>
  </sheetPr>
  <dimension ref="A1:N58"/>
  <sheetViews>
    <sheetView tabSelected="1" view="pageBreakPreview" topLeftCell="A7" zoomScale="85" zoomScaleNormal="100" workbookViewId="0">
      <selection activeCell="J12" sqref="J12"/>
    </sheetView>
  </sheetViews>
  <sheetFormatPr defaultColWidth="9" defaultRowHeight="12.75"/>
  <cols>
    <col min="1" max="1" width="4.42578125" customWidth="1"/>
    <col min="2" max="2" width="7.85546875" customWidth="1"/>
    <col min="3" max="3" width="5" customWidth="1"/>
    <col min="4" max="4" width="2.5703125" customWidth="1"/>
    <col min="5" max="5" width="18.85546875" customWidth="1"/>
    <col min="7" max="7" width="14" customWidth="1"/>
    <col min="8" max="8" width="4.140625" customWidth="1"/>
    <col min="9" max="9" width="14.140625" customWidth="1"/>
    <col min="10" max="10" width="36.7109375" customWidth="1"/>
    <col min="14" max="14" width="13.28515625" style="1" customWidth="1"/>
  </cols>
  <sheetData>
    <row r="1" spans="1:13" ht="18.7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</row>
    <row r="2" spans="1:13" ht="15.7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3" ht="15.75">
      <c r="A3" s="2" t="s">
        <v>1</v>
      </c>
      <c r="B3" s="2"/>
      <c r="C3" s="2"/>
      <c r="D3" s="2" t="s">
        <v>2</v>
      </c>
      <c r="E3" s="50" t="s">
        <v>41</v>
      </c>
      <c r="F3" s="2"/>
      <c r="G3" s="2"/>
      <c r="H3" s="2"/>
      <c r="I3" s="2"/>
      <c r="J3" s="2"/>
    </row>
    <row r="4" spans="1:13" ht="15.75">
      <c r="A4" s="2" t="s">
        <v>3</v>
      </c>
      <c r="B4" s="2"/>
      <c r="C4" s="2"/>
      <c r="D4" s="2" t="s">
        <v>2</v>
      </c>
      <c r="E4" s="51" t="s">
        <v>47</v>
      </c>
      <c r="F4" s="2"/>
      <c r="G4" s="2"/>
      <c r="H4" s="2"/>
      <c r="I4" s="2"/>
      <c r="J4" s="2"/>
    </row>
    <row r="5" spans="1:13" ht="15.75">
      <c r="A5" s="2" t="s">
        <v>4</v>
      </c>
      <c r="B5" s="2"/>
      <c r="C5" s="2"/>
      <c r="D5" s="4" t="s">
        <v>2</v>
      </c>
      <c r="E5" s="52" t="s">
        <v>42</v>
      </c>
      <c r="F5" s="4"/>
      <c r="G5" s="2"/>
      <c r="H5" s="2"/>
      <c r="I5" s="2"/>
      <c r="J5" s="2"/>
    </row>
    <row r="6" spans="1:13" ht="8.2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spans="1:13" ht="15.75">
      <c r="A7" s="5" t="s">
        <v>5</v>
      </c>
      <c r="B7" s="63" t="s">
        <v>6</v>
      </c>
      <c r="C7" s="64"/>
      <c r="D7" s="64"/>
      <c r="E7" s="64"/>
      <c r="F7" s="64"/>
      <c r="G7" s="65"/>
      <c r="H7" s="63" t="s">
        <v>7</v>
      </c>
      <c r="I7" s="65"/>
      <c r="J7" s="5" t="s">
        <v>8</v>
      </c>
    </row>
    <row r="8" spans="1:13" ht="15.75">
      <c r="A8" s="6">
        <v>1</v>
      </c>
      <c r="B8" s="66">
        <v>2</v>
      </c>
      <c r="C8" s="67"/>
      <c r="D8" s="67"/>
      <c r="E8" s="67"/>
      <c r="F8" s="67"/>
      <c r="G8" s="68"/>
      <c r="H8" s="66">
        <v>3</v>
      </c>
      <c r="I8" s="68"/>
      <c r="J8" s="6">
        <v>4</v>
      </c>
    </row>
    <row r="9" spans="1:13" ht="4.5" customHeight="1">
      <c r="A9" s="7"/>
      <c r="B9" s="7"/>
      <c r="C9" s="8"/>
      <c r="D9" s="8"/>
      <c r="E9" s="8"/>
      <c r="F9" s="8"/>
      <c r="G9" s="9"/>
      <c r="H9" s="8"/>
      <c r="I9" s="8"/>
      <c r="J9" s="28"/>
      <c r="M9">
        <f>SUM(M7:M8)</f>
        <v>0</v>
      </c>
    </row>
    <row r="10" spans="1:13" ht="15.75">
      <c r="A10" s="46" t="s">
        <v>9</v>
      </c>
      <c r="B10" s="11" t="s">
        <v>10</v>
      </c>
      <c r="C10" s="12"/>
      <c r="D10" s="12"/>
      <c r="E10" s="12"/>
      <c r="F10" s="12"/>
      <c r="G10" s="13"/>
      <c r="H10" s="12"/>
      <c r="I10" s="12"/>
      <c r="J10" s="29" t="s">
        <v>11</v>
      </c>
    </row>
    <row r="11" spans="1:13" s="1" customFormat="1" ht="15.75">
      <c r="A11" s="10"/>
      <c r="B11" s="10">
        <v>1</v>
      </c>
      <c r="C11" s="69" t="s">
        <v>12</v>
      </c>
      <c r="D11" s="69"/>
      <c r="E11" s="12" t="s">
        <v>13</v>
      </c>
      <c r="F11" s="12"/>
      <c r="G11" s="14">
        <v>530000</v>
      </c>
      <c r="H11" s="12" t="s">
        <v>13</v>
      </c>
      <c r="I11" s="30">
        <f>G11*B11</f>
        <v>530000</v>
      </c>
      <c r="J11" s="31"/>
      <c r="K11"/>
      <c r="L11"/>
      <c r="M11"/>
    </row>
    <row r="12" spans="1:13" s="1" customFormat="1" ht="15.75">
      <c r="A12" s="10"/>
      <c r="B12" s="11" t="s">
        <v>36</v>
      </c>
      <c r="C12" s="12"/>
      <c r="D12" s="12"/>
      <c r="E12" s="12"/>
      <c r="F12" s="12"/>
      <c r="G12" s="13"/>
      <c r="H12" s="12"/>
      <c r="I12" s="30"/>
      <c r="J12" s="31"/>
      <c r="K12"/>
      <c r="L12"/>
      <c r="M12"/>
    </row>
    <row r="13" spans="1:13" s="1" customFormat="1" ht="15.75">
      <c r="A13" s="10"/>
      <c r="B13" s="10">
        <v>3</v>
      </c>
      <c r="C13" s="69" t="s">
        <v>12</v>
      </c>
      <c r="D13" s="69"/>
      <c r="E13" s="12" t="s">
        <v>13</v>
      </c>
      <c r="F13" s="12"/>
      <c r="G13" s="14">
        <v>180000</v>
      </c>
      <c r="H13" s="12" t="s">
        <v>13</v>
      </c>
      <c r="I13" s="30">
        <f>G13*B13</f>
        <v>540000</v>
      </c>
      <c r="J13" s="31"/>
      <c r="K13"/>
      <c r="L13"/>
      <c r="M13"/>
    </row>
    <row r="14" spans="1:13" s="1" customFormat="1" ht="15.75">
      <c r="A14" s="15"/>
      <c r="B14" s="10"/>
      <c r="C14" s="47"/>
      <c r="D14" s="47"/>
      <c r="E14" s="12"/>
      <c r="F14" s="12"/>
      <c r="G14" s="14"/>
      <c r="H14" s="16"/>
      <c r="I14" s="32"/>
      <c r="J14" s="33"/>
      <c r="K14"/>
      <c r="L14"/>
      <c r="M14"/>
    </row>
    <row r="15" spans="1:13" s="1" customFormat="1" ht="15.75">
      <c r="A15" s="10">
        <v>2</v>
      </c>
      <c r="B15" s="11" t="s">
        <v>15</v>
      </c>
      <c r="C15" s="12"/>
      <c r="D15" s="12"/>
      <c r="E15" s="12" t="s">
        <v>16</v>
      </c>
      <c r="F15" s="12"/>
      <c r="G15" s="13"/>
      <c r="H15" s="12"/>
      <c r="I15" s="34"/>
      <c r="J15" s="35"/>
      <c r="K15"/>
      <c r="L15"/>
      <c r="M15"/>
    </row>
    <row r="16" spans="1:13" s="1" customFormat="1" ht="15.75">
      <c r="A16" s="10"/>
      <c r="B16" s="10">
        <v>1</v>
      </c>
      <c r="C16" s="69" t="s">
        <v>12</v>
      </c>
      <c r="D16" s="69"/>
      <c r="E16" s="17" t="s">
        <v>13</v>
      </c>
      <c r="F16" s="12"/>
      <c r="G16" s="14">
        <v>992000</v>
      </c>
      <c r="H16" s="12" t="s">
        <v>13</v>
      </c>
      <c r="I16" s="36">
        <f>SUM(G16*B16)</f>
        <v>992000</v>
      </c>
      <c r="J16" s="35"/>
      <c r="K16"/>
      <c r="L16"/>
      <c r="M16"/>
    </row>
    <row r="17" spans="1:14" s="1" customFormat="1" ht="15.75">
      <c r="A17" s="10"/>
      <c r="B17" s="10"/>
      <c r="C17" s="47"/>
      <c r="D17" s="47"/>
      <c r="E17" s="17"/>
      <c r="F17" s="12"/>
      <c r="G17" s="14"/>
      <c r="H17" s="12"/>
      <c r="I17" s="36"/>
      <c r="J17" s="35"/>
      <c r="K17"/>
      <c r="L17"/>
      <c r="M17"/>
    </row>
    <row r="18" spans="1:14" s="1" customFormat="1" ht="15.75">
      <c r="A18" s="10">
        <v>3</v>
      </c>
      <c r="B18" s="18" t="s">
        <v>18</v>
      </c>
      <c r="C18" s="12"/>
      <c r="D18" s="12"/>
      <c r="E18" s="12" t="s">
        <v>16</v>
      </c>
      <c r="F18" s="12"/>
      <c r="G18" s="13"/>
      <c r="H18" s="12"/>
      <c r="I18" s="47"/>
      <c r="J18" s="35"/>
      <c r="K18"/>
      <c r="L18"/>
      <c r="M18"/>
    </row>
    <row r="19" spans="1:14" ht="15.75">
      <c r="A19" s="10"/>
      <c r="B19" s="11" t="s">
        <v>37</v>
      </c>
      <c r="C19" s="12"/>
      <c r="D19" s="12"/>
      <c r="E19" s="12"/>
      <c r="F19" s="12"/>
      <c r="G19" s="14"/>
      <c r="H19" s="12"/>
      <c r="I19" s="37"/>
      <c r="J19" s="38"/>
    </row>
    <row r="20" spans="1:14" ht="15.75">
      <c r="A20" s="10"/>
      <c r="B20" s="53" t="s">
        <v>39</v>
      </c>
      <c r="C20" s="12"/>
      <c r="D20" s="12"/>
      <c r="E20" s="12"/>
      <c r="F20" s="12"/>
      <c r="G20" s="57">
        <v>3059900</v>
      </c>
      <c r="H20" s="58"/>
      <c r="I20" s="59">
        <f>SUM(G20)</f>
        <v>3059900</v>
      </c>
      <c r="J20" s="38"/>
    </row>
    <row r="21" spans="1:14" ht="15.75">
      <c r="A21" s="10"/>
      <c r="B21" s="53" t="s">
        <v>48</v>
      </c>
      <c r="C21" s="12"/>
      <c r="D21" s="12"/>
      <c r="E21" s="12"/>
      <c r="F21" s="12"/>
      <c r="G21" s="57">
        <v>2845000</v>
      </c>
      <c r="H21" s="58"/>
      <c r="I21" s="59">
        <f>SUM(G21)</f>
        <v>2845000</v>
      </c>
      <c r="J21" s="38"/>
    </row>
    <row r="22" spans="1:14" ht="15.75">
      <c r="A22" s="10"/>
      <c r="B22" s="11" t="s">
        <v>38</v>
      </c>
      <c r="C22" s="12"/>
      <c r="D22" s="12"/>
      <c r="E22" s="12"/>
      <c r="F22" s="12"/>
      <c r="G22" s="14">
        <v>512000</v>
      </c>
      <c r="H22" s="12"/>
      <c r="I22" s="37">
        <f>SUM(G22)</f>
        <v>512000</v>
      </c>
      <c r="J22" s="38"/>
    </row>
    <row r="23" spans="1:14" ht="15.75">
      <c r="A23" s="10"/>
      <c r="B23" s="11"/>
      <c r="C23" s="12"/>
      <c r="D23" s="12"/>
      <c r="E23" s="12"/>
      <c r="F23" s="12"/>
      <c r="G23" s="14"/>
      <c r="H23" s="12"/>
      <c r="I23" s="37"/>
      <c r="J23" s="38"/>
    </row>
    <row r="24" spans="1:14" ht="15.75">
      <c r="A24" s="10"/>
      <c r="B24" s="11" t="s">
        <v>19</v>
      </c>
      <c r="C24" s="12"/>
      <c r="D24" s="12"/>
      <c r="E24" s="12"/>
      <c r="F24" s="12"/>
      <c r="G24" s="14"/>
      <c r="H24" s="12"/>
      <c r="I24" s="37"/>
      <c r="J24" s="38"/>
    </row>
    <row r="25" spans="1:14" ht="15.75">
      <c r="A25" s="10"/>
      <c r="B25" s="11" t="s">
        <v>20</v>
      </c>
      <c r="C25" s="12"/>
      <c r="D25" s="12"/>
      <c r="E25" s="12"/>
      <c r="F25" s="12"/>
      <c r="G25" s="19">
        <v>320000</v>
      </c>
      <c r="H25" s="12" t="s">
        <v>13</v>
      </c>
      <c r="I25" s="39">
        <f>SUM(G25)</f>
        <v>320000</v>
      </c>
      <c r="J25" s="38"/>
      <c r="N25" s="1">
        <v>260522311</v>
      </c>
    </row>
    <row r="26" spans="1:14" ht="15.75" customHeight="1">
      <c r="A26" s="7"/>
      <c r="B26" s="7" t="s">
        <v>21</v>
      </c>
      <c r="C26" s="8"/>
      <c r="D26" s="8"/>
      <c r="E26" s="8"/>
      <c r="F26" s="8"/>
      <c r="G26" s="8"/>
      <c r="H26" s="7" t="s">
        <v>13</v>
      </c>
      <c r="I26" s="41">
        <f>SUM(I11:I25)</f>
        <v>8798900</v>
      </c>
      <c r="J26" s="74" t="s">
        <v>54</v>
      </c>
      <c r="N26" s="1">
        <f>SUM(N25-1900000-35000000)</f>
        <v>223622311</v>
      </c>
    </row>
    <row r="27" spans="1:14" ht="22.5" customHeight="1" thickBot="1">
      <c r="A27" s="20"/>
      <c r="B27" s="20"/>
      <c r="C27" s="21"/>
      <c r="D27" s="21"/>
      <c r="E27" s="21"/>
      <c r="F27" s="21"/>
      <c r="G27" s="21"/>
      <c r="H27" s="20"/>
      <c r="I27" s="21"/>
      <c r="J27" s="75"/>
    </row>
    <row r="28" spans="1:14" ht="6.75" customHeight="1" thickTop="1">
      <c r="A28" s="2"/>
      <c r="B28" s="2"/>
      <c r="C28" s="2"/>
      <c r="D28" s="2"/>
      <c r="E28" s="2"/>
      <c r="F28" s="2"/>
      <c r="G28" s="2"/>
      <c r="H28" s="2"/>
      <c r="I28" s="2"/>
      <c r="J28" s="42"/>
    </row>
    <row r="29" spans="1:14" ht="15.75">
      <c r="A29" s="2"/>
      <c r="B29" s="2"/>
      <c r="C29" s="2"/>
      <c r="D29" s="2"/>
      <c r="E29" s="2"/>
      <c r="F29" s="2"/>
      <c r="G29" s="2"/>
      <c r="H29" s="2"/>
      <c r="I29" s="54" t="s">
        <v>43</v>
      </c>
      <c r="J29" s="2"/>
    </row>
    <row r="30" spans="1:14" ht="15.7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4" ht="15.75">
      <c r="A31" s="2"/>
      <c r="B31" s="2" t="s">
        <v>22</v>
      </c>
      <c r="C31" s="2"/>
      <c r="D31" s="2"/>
      <c r="E31" s="2"/>
      <c r="F31" s="2"/>
      <c r="G31" s="2"/>
      <c r="H31" s="2" t="s">
        <v>23</v>
      </c>
      <c r="I31" s="2"/>
      <c r="J31" s="2"/>
      <c r="N31" s="1">
        <v>83702314</v>
      </c>
    </row>
    <row r="32" spans="1:14" ht="15.75">
      <c r="A32" s="2"/>
      <c r="B32" s="2" t="s">
        <v>13</v>
      </c>
      <c r="C32" s="70">
        <f>I26</f>
        <v>8798900</v>
      </c>
      <c r="D32" s="70"/>
      <c r="E32" s="70"/>
      <c r="F32" s="22"/>
      <c r="G32" s="2"/>
      <c r="H32" s="2" t="s">
        <v>13</v>
      </c>
      <c r="I32" s="43">
        <f>C32</f>
        <v>8798900</v>
      </c>
      <c r="J32" s="2"/>
    </row>
    <row r="33" spans="1:14" ht="15.75">
      <c r="A33" s="2"/>
      <c r="B33" s="2"/>
      <c r="C33" s="2"/>
      <c r="D33" s="2"/>
      <c r="E33" s="2"/>
      <c r="F33" s="2"/>
      <c r="G33" s="2"/>
      <c r="H33" s="2"/>
      <c r="I33" s="2"/>
      <c r="J33" s="2"/>
      <c r="N33" s="1">
        <f>N26-N31</f>
        <v>139919997</v>
      </c>
    </row>
    <row r="34" spans="1:14" ht="15.7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4" ht="15.75">
      <c r="A35" s="2"/>
      <c r="B35" s="71" t="s">
        <v>24</v>
      </c>
      <c r="C35" s="71"/>
      <c r="D35" s="71"/>
      <c r="E35" s="71"/>
      <c r="F35" s="48"/>
      <c r="G35" s="2"/>
      <c r="H35" s="2"/>
      <c r="I35" s="71" t="s">
        <v>25</v>
      </c>
      <c r="J35" s="71"/>
    </row>
    <row r="36" spans="1:14" ht="15.75">
      <c r="A36" s="71"/>
      <c r="B36" s="71"/>
      <c r="C36" s="71"/>
      <c r="D36" s="71"/>
      <c r="E36" s="71"/>
      <c r="F36" s="48"/>
      <c r="H36" s="2"/>
      <c r="I36" s="48"/>
      <c r="J36" s="48"/>
    </row>
    <row r="37" spans="1:14" ht="15.7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4" ht="15.7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4" ht="15.75">
      <c r="A39" s="73" t="s">
        <v>26</v>
      </c>
      <c r="B39" s="73"/>
      <c r="C39" s="73"/>
      <c r="D39" s="73"/>
      <c r="E39" s="73"/>
      <c r="F39" s="23"/>
      <c r="G39" s="2"/>
      <c r="H39" s="2"/>
      <c r="I39" s="73" t="str">
        <f>E3</f>
        <v>Fauzi, S.Sos</v>
      </c>
      <c r="J39" s="73"/>
    </row>
    <row r="40" spans="1:14" ht="15.75">
      <c r="A40" s="71" t="s">
        <v>27</v>
      </c>
      <c r="B40" s="71"/>
      <c r="C40" s="71"/>
      <c r="D40" s="71"/>
      <c r="E40" s="71"/>
      <c r="F40" s="24"/>
      <c r="G40" s="2"/>
      <c r="H40" s="2"/>
      <c r="I40" s="2"/>
      <c r="J40" s="2"/>
    </row>
    <row r="41" spans="1:14" ht="15.75">
      <c r="A41" s="2"/>
      <c r="B41" s="48"/>
      <c r="C41" s="48"/>
      <c r="D41" s="48"/>
      <c r="E41" s="48"/>
      <c r="F41" s="48"/>
      <c r="G41" s="2"/>
      <c r="H41" s="2"/>
      <c r="I41" s="2"/>
      <c r="J41" s="2"/>
    </row>
    <row r="42" spans="1:14" ht="15.7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4" ht="18.75">
      <c r="A43" s="72" t="s">
        <v>28</v>
      </c>
      <c r="B43" s="72"/>
      <c r="C43" s="72"/>
      <c r="D43" s="72"/>
      <c r="E43" s="72"/>
      <c r="F43" s="72"/>
      <c r="G43" s="72"/>
      <c r="H43" s="72"/>
      <c r="I43" s="72"/>
      <c r="J43" s="72"/>
    </row>
    <row r="44" spans="1:14" ht="15.7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4" ht="15.75">
      <c r="A45" s="2" t="s">
        <v>29</v>
      </c>
      <c r="B45" s="2"/>
      <c r="C45" s="2"/>
      <c r="D45" s="2"/>
      <c r="E45" s="2"/>
      <c r="F45" s="2" t="s">
        <v>13</v>
      </c>
      <c r="G45" s="25">
        <f>I32</f>
        <v>8798900</v>
      </c>
      <c r="H45" s="2"/>
      <c r="I45" s="2"/>
      <c r="J45" s="2"/>
    </row>
    <row r="46" spans="1:14" ht="15.75">
      <c r="A46" s="2" t="s">
        <v>30</v>
      </c>
      <c r="B46" s="2"/>
      <c r="C46" s="2"/>
      <c r="D46" s="2"/>
      <c r="E46" s="2"/>
      <c r="F46" s="2" t="s">
        <v>13</v>
      </c>
      <c r="G46" s="26"/>
      <c r="H46" s="2"/>
      <c r="I46" s="2"/>
      <c r="J46" s="2"/>
    </row>
    <row r="47" spans="1:14" ht="15.75">
      <c r="A47" s="2" t="s">
        <v>31</v>
      </c>
      <c r="B47" s="2"/>
      <c r="C47" s="2"/>
      <c r="D47" s="2"/>
      <c r="E47" s="2"/>
      <c r="F47" s="2" t="s">
        <v>13</v>
      </c>
      <c r="G47" s="26"/>
      <c r="H47" s="2"/>
      <c r="I47" s="2"/>
      <c r="J47" s="2"/>
    </row>
    <row r="48" spans="1:14" ht="15.75">
      <c r="A48" s="2"/>
      <c r="B48" s="2"/>
      <c r="C48" s="2"/>
      <c r="D48" s="2"/>
      <c r="E48" s="2"/>
      <c r="F48" s="2"/>
      <c r="G48" s="26"/>
      <c r="H48" s="2"/>
      <c r="I48" s="2"/>
      <c r="J48" s="2"/>
    </row>
    <row r="49" spans="1:10" ht="15.75">
      <c r="A49" s="2"/>
      <c r="B49" s="2"/>
      <c r="C49" s="2"/>
      <c r="D49" s="2"/>
      <c r="E49" s="2"/>
      <c r="F49" s="2"/>
      <c r="G49" s="71" t="s">
        <v>32</v>
      </c>
      <c r="H49" s="71"/>
      <c r="I49" s="71"/>
      <c r="J49" s="71"/>
    </row>
    <row r="50" spans="1:10" ht="15.75">
      <c r="A50" s="2"/>
      <c r="B50" s="2"/>
      <c r="C50" s="2"/>
      <c r="D50" s="2"/>
      <c r="E50" s="2"/>
      <c r="F50" s="2"/>
      <c r="G50" s="48"/>
      <c r="H50" s="48"/>
      <c r="I50" s="48"/>
      <c r="J50" s="48"/>
    </row>
    <row r="51" spans="1:10" ht="15.7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7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75">
      <c r="A53" s="2"/>
      <c r="B53" s="2"/>
      <c r="C53" s="2"/>
      <c r="D53" s="2"/>
      <c r="E53" s="2"/>
      <c r="F53" s="2"/>
      <c r="G53" s="73" t="s">
        <v>33</v>
      </c>
      <c r="H53" s="73"/>
      <c r="I53" s="73"/>
      <c r="J53" s="73"/>
    </row>
    <row r="54" spans="1:10" ht="15.75">
      <c r="A54" s="2"/>
      <c r="B54" s="2"/>
      <c r="C54" s="2"/>
      <c r="D54" s="2"/>
      <c r="E54" s="2"/>
      <c r="F54" s="2"/>
      <c r="G54" s="71" t="s">
        <v>34</v>
      </c>
      <c r="H54" s="71"/>
      <c r="I54" s="71"/>
      <c r="J54" s="71"/>
    </row>
    <row r="55" spans="1:10">
      <c r="A55" s="27"/>
      <c r="B55" s="27"/>
      <c r="C55" s="27"/>
      <c r="D55" s="27"/>
      <c r="E55" s="27"/>
      <c r="F55" s="27"/>
      <c r="G55" s="27"/>
      <c r="H55" s="27"/>
      <c r="I55" s="27"/>
      <c r="J55" s="27"/>
    </row>
    <row r="56" spans="1:10">
      <c r="A56" s="27"/>
      <c r="B56" s="27"/>
      <c r="C56" s="27"/>
      <c r="D56" s="27"/>
      <c r="E56" s="27"/>
      <c r="F56" s="27"/>
      <c r="G56" s="27"/>
      <c r="H56" s="27"/>
      <c r="I56" s="27"/>
      <c r="J56" s="27"/>
    </row>
    <row r="57" spans="1:10">
      <c r="A57" s="27"/>
      <c r="B57" s="27"/>
      <c r="C57" s="27"/>
      <c r="D57" s="27"/>
      <c r="E57" s="27"/>
      <c r="F57" s="27"/>
      <c r="G57" s="27"/>
      <c r="H57" s="27"/>
      <c r="I57" s="27"/>
      <c r="J57" s="27"/>
    </row>
    <row r="58" spans="1:10">
      <c r="A58" s="27"/>
      <c r="B58" s="27"/>
      <c r="C58" s="27"/>
      <c r="D58" s="27"/>
      <c r="E58" s="27"/>
      <c r="F58" s="27"/>
      <c r="G58" s="27"/>
      <c r="H58" s="27"/>
      <c r="I58" s="27"/>
      <c r="J58" s="27"/>
    </row>
  </sheetData>
  <mergeCells count="20">
    <mergeCell ref="C11:D11"/>
    <mergeCell ref="A1:J1"/>
    <mergeCell ref="B7:G7"/>
    <mergeCell ref="H7:I7"/>
    <mergeCell ref="B8:G8"/>
    <mergeCell ref="H8:I8"/>
    <mergeCell ref="C13:D13"/>
    <mergeCell ref="J26:J27"/>
    <mergeCell ref="C32:E32"/>
    <mergeCell ref="B35:E35"/>
    <mergeCell ref="I35:J35"/>
    <mergeCell ref="G53:J53"/>
    <mergeCell ref="G54:J54"/>
    <mergeCell ref="C16:D16"/>
    <mergeCell ref="A36:E36"/>
    <mergeCell ref="A39:E39"/>
    <mergeCell ref="I39:J39"/>
    <mergeCell ref="A40:E40"/>
    <mergeCell ref="A43:J43"/>
    <mergeCell ref="G49:J49"/>
  </mergeCells>
  <pageMargins left="0.70866141732283505" right="0.70866141732283505" top="0.74803149606299202" bottom="0.74803149606299202" header="0.31496062992126" footer="0.31496062992126"/>
  <pageSetup scale="6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180E-6D04-4B13-983F-2D54EB4BEA94}">
  <sheetPr>
    <tabColor theme="0"/>
  </sheetPr>
  <dimension ref="A1:M52"/>
  <sheetViews>
    <sheetView view="pageBreakPreview" topLeftCell="A6" zoomScaleNormal="100" workbookViewId="0">
      <selection activeCell="J13" sqref="J13"/>
    </sheetView>
  </sheetViews>
  <sheetFormatPr defaultColWidth="9" defaultRowHeight="12.75"/>
  <cols>
    <col min="1" max="1" width="4.42578125" customWidth="1"/>
    <col min="2" max="2" width="7.85546875" customWidth="1"/>
    <col min="3" max="3" width="5" customWidth="1"/>
    <col min="4" max="4" width="2.5703125" customWidth="1"/>
    <col min="5" max="5" width="18.85546875" customWidth="1"/>
    <col min="7" max="7" width="14" customWidth="1"/>
    <col min="8" max="8" width="4.140625" customWidth="1"/>
    <col min="9" max="9" width="14.140625" customWidth="1"/>
    <col min="10" max="10" width="36.7109375" customWidth="1"/>
  </cols>
  <sheetData>
    <row r="1" spans="1:13" ht="18.7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</row>
    <row r="2" spans="1:13" ht="15.7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3" ht="15.75">
      <c r="A3" s="2" t="s">
        <v>1</v>
      </c>
      <c r="B3" s="2"/>
      <c r="C3" s="2"/>
      <c r="D3" s="2" t="s">
        <v>2</v>
      </c>
      <c r="E3" s="3" t="s">
        <v>41</v>
      </c>
      <c r="F3" s="2"/>
      <c r="G3" s="2"/>
      <c r="H3" s="2"/>
      <c r="I3" s="2"/>
      <c r="J3" s="2"/>
    </row>
    <row r="4" spans="1:13" ht="15.75">
      <c r="A4" s="2" t="s">
        <v>3</v>
      </c>
      <c r="B4" s="2"/>
      <c r="C4" s="2"/>
      <c r="D4" s="2" t="s">
        <v>2</v>
      </c>
      <c r="E4" s="44" t="s">
        <v>44</v>
      </c>
      <c r="F4" s="2"/>
      <c r="G4" s="2"/>
      <c r="H4" s="2"/>
      <c r="I4" s="2"/>
      <c r="J4" s="2"/>
    </row>
    <row r="5" spans="1:13" ht="15.75">
      <c r="A5" s="2" t="s">
        <v>4</v>
      </c>
      <c r="B5" s="2"/>
      <c r="C5" s="2"/>
      <c r="D5" s="4" t="s">
        <v>2</v>
      </c>
      <c r="E5" s="45" t="s">
        <v>40</v>
      </c>
      <c r="F5" s="4"/>
      <c r="G5" s="2"/>
      <c r="H5" s="2"/>
      <c r="I5" s="2"/>
      <c r="J5" s="2"/>
      <c r="L5" t="e">
        <f ca="1">[1]!terbilang(I20,3,"Rupiah")</f>
        <v>#NAME?</v>
      </c>
    </row>
    <row r="6" spans="1:13" ht="8.2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spans="1:13" ht="15.75">
      <c r="A7" s="5" t="s">
        <v>5</v>
      </c>
      <c r="B7" s="63" t="s">
        <v>6</v>
      </c>
      <c r="C7" s="64"/>
      <c r="D7" s="64"/>
      <c r="E7" s="64"/>
      <c r="F7" s="64"/>
      <c r="G7" s="65"/>
      <c r="H7" s="63" t="s">
        <v>7</v>
      </c>
      <c r="I7" s="65"/>
      <c r="J7" s="5" t="s">
        <v>8</v>
      </c>
      <c r="M7">
        <v>480</v>
      </c>
    </row>
    <row r="8" spans="1:13" ht="15.75">
      <c r="A8" s="6">
        <v>1</v>
      </c>
      <c r="B8" s="66">
        <v>2</v>
      </c>
      <c r="C8" s="67"/>
      <c r="D8" s="67"/>
      <c r="E8" s="67"/>
      <c r="F8" s="67"/>
      <c r="G8" s="68"/>
      <c r="H8" s="66">
        <v>3</v>
      </c>
      <c r="I8" s="68"/>
      <c r="J8" s="6">
        <v>4</v>
      </c>
      <c r="M8">
        <v>225</v>
      </c>
    </row>
    <row r="9" spans="1:13" ht="4.5" customHeight="1">
      <c r="A9" s="7"/>
      <c r="B9" s="7"/>
      <c r="C9" s="8"/>
      <c r="D9" s="8"/>
      <c r="E9" s="8"/>
      <c r="F9" s="8"/>
      <c r="G9" s="9"/>
      <c r="H9" s="8"/>
      <c r="I9" s="8"/>
      <c r="J9" s="28"/>
      <c r="M9">
        <f>SUM(M7:M8)</f>
        <v>705</v>
      </c>
    </row>
    <row r="10" spans="1:13" ht="15.75">
      <c r="A10" s="46" t="s">
        <v>9</v>
      </c>
      <c r="B10" s="11" t="s">
        <v>10</v>
      </c>
      <c r="C10" s="12"/>
      <c r="D10" s="12"/>
      <c r="E10" s="12"/>
      <c r="F10" s="12"/>
      <c r="G10" s="13"/>
      <c r="H10" s="12"/>
      <c r="I10" s="12"/>
      <c r="J10" s="29" t="s">
        <v>11</v>
      </c>
    </row>
    <row r="11" spans="1:13" ht="15.75">
      <c r="A11" s="10"/>
      <c r="B11" s="10">
        <v>2</v>
      </c>
      <c r="C11" s="69" t="s">
        <v>12</v>
      </c>
      <c r="D11" s="69"/>
      <c r="E11" s="12" t="s">
        <v>13</v>
      </c>
      <c r="F11" s="12"/>
      <c r="G11" s="14">
        <v>360000</v>
      </c>
      <c r="H11" s="12" t="s">
        <v>13</v>
      </c>
      <c r="I11" s="30">
        <f>G11*B11</f>
        <v>720000</v>
      </c>
      <c r="J11" s="31"/>
      <c r="M11">
        <f>SUM(M7:M8)</f>
        <v>705</v>
      </c>
    </row>
    <row r="12" spans="1:13" ht="15.75">
      <c r="A12" s="15"/>
      <c r="B12" s="10"/>
      <c r="C12" s="56"/>
      <c r="D12" s="56"/>
      <c r="E12" s="12"/>
      <c r="F12" s="12"/>
      <c r="G12" s="14"/>
      <c r="H12" s="16"/>
      <c r="I12" s="32"/>
      <c r="J12" s="33"/>
    </row>
    <row r="13" spans="1:13" ht="15.75">
      <c r="A13" s="46" t="s">
        <v>14</v>
      </c>
      <c r="B13" s="11" t="s">
        <v>15</v>
      </c>
      <c r="C13" s="12"/>
      <c r="D13" s="12"/>
      <c r="E13" s="12" t="s">
        <v>16</v>
      </c>
      <c r="F13" s="12"/>
      <c r="G13" s="13"/>
      <c r="H13" s="12"/>
      <c r="I13" s="34"/>
      <c r="J13" s="35"/>
    </row>
    <row r="14" spans="1:13" ht="15.75">
      <c r="A14" s="10"/>
      <c r="B14" s="10">
        <v>1</v>
      </c>
      <c r="C14" s="69" t="s">
        <v>12</v>
      </c>
      <c r="D14" s="69"/>
      <c r="E14" s="17" t="s">
        <v>13</v>
      </c>
      <c r="F14" s="12"/>
      <c r="G14" s="14">
        <v>1200000</v>
      </c>
      <c r="H14" s="12" t="s">
        <v>13</v>
      </c>
      <c r="I14" s="36">
        <f>SUM(G14*B14)</f>
        <v>1200000</v>
      </c>
      <c r="J14" s="35"/>
      <c r="M14">
        <f>290000/13900</f>
        <v>20.863309352517987</v>
      </c>
    </row>
    <row r="15" spans="1:13" ht="15.75">
      <c r="A15" s="10"/>
      <c r="B15" s="10"/>
      <c r="C15" s="56"/>
      <c r="D15" s="56"/>
      <c r="E15" s="17"/>
      <c r="F15" s="12"/>
      <c r="G15" s="14"/>
      <c r="H15" s="12"/>
      <c r="I15" s="34"/>
      <c r="J15" s="35"/>
    </row>
    <row r="16" spans="1:13" ht="15.75">
      <c r="A16" s="46" t="s">
        <v>17</v>
      </c>
      <c r="B16" s="18" t="s">
        <v>18</v>
      </c>
      <c r="C16" s="12"/>
      <c r="D16" s="12"/>
      <c r="E16" s="12" t="s">
        <v>16</v>
      </c>
      <c r="F16" s="12"/>
      <c r="G16" s="13"/>
      <c r="H16" s="12"/>
      <c r="I16" s="56"/>
      <c r="J16" s="35"/>
    </row>
    <row r="17" spans="1:13" ht="15.75">
      <c r="A17" s="10"/>
      <c r="B17" s="11" t="s">
        <v>19</v>
      </c>
      <c r="C17" s="12"/>
      <c r="D17" s="12"/>
      <c r="E17" s="12"/>
      <c r="F17" s="12"/>
      <c r="G17" s="14"/>
      <c r="H17" s="12"/>
      <c r="I17" s="37"/>
      <c r="J17" s="38"/>
    </row>
    <row r="18" spans="1:13" ht="15.75">
      <c r="A18" s="10"/>
      <c r="B18" s="11" t="s">
        <v>20</v>
      </c>
      <c r="C18" s="12"/>
      <c r="D18" s="12"/>
      <c r="E18" s="12"/>
      <c r="F18" s="12"/>
      <c r="G18" s="19">
        <v>320000</v>
      </c>
      <c r="H18" s="12" t="s">
        <v>13</v>
      </c>
      <c r="I18" s="39">
        <f>SUM(G18*1)</f>
        <v>320000</v>
      </c>
      <c r="J18" s="38"/>
    </row>
    <row r="19" spans="1:13" ht="15.75">
      <c r="A19" s="10"/>
      <c r="B19" s="11"/>
      <c r="C19" s="12"/>
      <c r="D19" s="12"/>
      <c r="E19" s="12"/>
      <c r="F19" s="12"/>
      <c r="G19" s="13"/>
      <c r="H19" s="12"/>
      <c r="I19" s="40"/>
      <c r="J19" s="35"/>
      <c r="M19" s="49"/>
    </row>
    <row r="20" spans="1:13" ht="15.75" customHeight="1">
      <c r="A20" s="7"/>
      <c r="B20" s="7" t="s">
        <v>21</v>
      </c>
      <c r="C20" s="8"/>
      <c r="D20" s="8"/>
      <c r="E20" s="8"/>
      <c r="F20" s="8"/>
      <c r="G20" s="8"/>
      <c r="H20" s="7" t="s">
        <v>13</v>
      </c>
      <c r="I20" s="41">
        <f>SUM(I11:I18)</f>
        <v>2240000</v>
      </c>
      <c r="J20" s="74" t="str">
        <f t="array" ref="J20">[2]!terbilang(I20,3,"Rupiah")</f>
        <v>Dua Juta Dua Ratus Empat Puluh Ribu Rupiah</v>
      </c>
    </row>
    <row r="21" spans="1:13" ht="22.5" customHeight="1" thickBot="1">
      <c r="A21" s="20"/>
      <c r="B21" s="20"/>
      <c r="C21" s="21"/>
      <c r="D21" s="21"/>
      <c r="E21" s="21"/>
      <c r="F21" s="21"/>
      <c r="G21" s="21"/>
      <c r="H21" s="20"/>
      <c r="I21" s="21"/>
      <c r="J21" s="75"/>
    </row>
    <row r="22" spans="1:13" ht="6.75" customHeight="1" thickTop="1">
      <c r="A22" s="2"/>
      <c r="B22" s="2"/>
      <c r="C22" s="2"/>
      <c r="D22" s="2"/>
      <c r="E22" s="2"/>
      <c r="F22" s="2"/>
      <c r="G22" s="2"/>
      <c r="H22" s="2"/>
      <c r="I22" s="2"/>
      <c r="J22" s="42"/>
    </row>
    <row r="23" spans="1:13" ht="15.75">
      <c r="A23" s="2"/>
      <c r="B23" s="2"/>
      <c r="C23" s="2"/>
      <c r="D23" s="2"/>
      <c r="E23" s="2"/>
      <c r="F23" s="2"/>
      <c r="G23" s="2"/>
      <c r="H23" s="2"/>
      <c r="I23" s="2" t="s">
        <v>49</v>
      </c>
      <c r="J23" s="2"/>
    </row>
    <row r="24" spans="1:13" ht="15.7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3" ht="15.75">
      <c r="A25" s="2"/>
      <c r="B25" s="2" t="s">
        <v>22</v>
      </c>
      <c r="C25" s="2"/>
      <c r="D25" s="2"/>
      <c r="E25" s="2"/>
      <c r="F25" s="2"/>
      <c r="G25" s="2"/>
      <c r="H25" s="2" t="s">
        <v>23</v>
      </c>
      <c r="I25" s="2"/>
      <c r="J25" s="2"/>
    </row>
    <row r="26" spans="1:13" ht="15.75">
      <c r="A26" s="2"/>
      <c r="B26" s="2" t="s">
        <v>13</v>
      </c>
      <c r="C26" s="70">
        <f>I20</f>
        <v>2240000</v>
      </c>
      <c r="D26" s="70"/>
      <c r="E26" s="70"/>
      <c r="F26" s="22"/>
      <c r="G26" s="2"/>
      <c r="H26" s="2" t="s">
        <v>13</v>
      </c>
      <c r="I26" s="43">
        <f>C26</f>
        <v>2240000</v>
      </c>
      <c r="J26" s="2"/>
    </row>
    <row r="27" spans="1:13" ht="15.7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3" ht="15.7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3" ht="15.75">
      <c r="A29" s="2"/>
      <c r="B29" s="71" t="s">
        <v>24</v>
      </c>
      <c r="C29" s="71"/>
      <c r="D29" s="71"/>
      <c r="E29" s="71"/>
      <c r="F29" s="55"/>
      <c r="G29" s="2"/>
      <c r="H29" s="2"/>
      <c r="I29" s="71" t="s">
        <v>25</v>
      </c>
      <c r="J29" s="71"/>
    </row>
    <row r="30" spans="1:13" ht="15.75">
      <c r="A30" s="71"/>
      <c r="B30" s="71"/>
      <c r="C30" s="71"/>
      <c r="D30" s="71"/>
      <c r="E30" s="71"/>
      <c r="F30" s="55"/>
      <c r="H30" s="2"/>
      <c r="I30" s="55"/>
      <c r="J30" s="55"/>
    </row>
    <row r="31" spans="1:13" ht="15.7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3" ht="15.7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>
      <c r="A33" s="73" t="s">
        <v>26</v>
      </c>
      <c r="B33" s="73"/>
      <c r="C33" s="73"/>
      <c r="D33" s="73"/>
      <c r="E33" s="73"/>
      <c r="F33" s="23"/>
      <c r="G33" s="2"/>
      <c r="H33" s="2"/>
      <c r="I33" s="73" t="str">
        <f>E3</f>
        <v>Fauzi, S.Sos</v>
      </c>
      <c r="J33" s="73"/>
    </row>
    <row r="34" spans="1:10" ht="15.75">
      <c r="A34" s="71" t="s">
        <v>27</v>
      </c>
      <c r="B34" s="71"/>
      <c r="C34" s="71"/>
      <c r="D34" s="71"/>
      <c r="E34" s="71"/>
      <c r="F34" s="24"/>
      <c r="G34" s="2"/>
      <c r="H34" s="2"/>
      <c r="I34" s="2"/>
      <c r="J34" s="2"/>
    </row>
    <row r="35" spans="1:10" ht="15.75">
      <c r="A35" s="2"/>
      <c r="B35" s="55"/>
      <c r="C35" s="55"/>
      <c r="D35" s="55"/>
      <c r="E35" s="55"/>
      <c r="F35" s="55"/>
      <c r="G35" s="2"/>
      <c r="H35" s="2"/>
      <c r="I35" s="2"/>
      <c r="J35" s="2"/>
    </row>
    <row r="36" spans="1:10" ht="15.7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8.75">
      <c r="A37" s="72" t="s">
        <v>28</v>
      </c>
      <c r="B37" s="72"/>
      <c r="C37" s="72"/>
      <c r="D37" s="72"/>
      <c r="E37" s="72"/>
      <c r="F37" s="72"/>
      <c r="G37" s="72"/>
      <c r="H37" s="72"/>
      <c r="I37" s="72"/>
      <c r="J37" s="72"/>
    </row>
    <row r="38" spans="1:10" ht="15.7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.75">
      <c r="A39" s="2" t="s">
        <v>29</v>
      </c>
      <c r="B39" s="2"/>
      <c r="C39" s="2"/>
      <c r="D39" s="2"/>
      <c r="E39" s="2"/>
      <c r="F39" s="2" t="s">
        <v>13</v>
      </c>
      <c r="G39" s="25">
        <f>I26</f>
        <v>2240000</v>
      </c>
      <c r="H39" s="2"/>
      <c r="I39" s="2"/>
      <c r="J39" s="2"/>
    </row>
    <row r="40" spans="1:10" ht="15.75">
      <c r="A40" s="2" t="s">
        <v>30</v>
      </c>
      <c r="B40" s="2"/>
      <c r="C40" s="2"/>
      <c r="D40" s="2"/>
      <c r="E40" s="2"/>
      <c r="F40" s="2" t="s">
        <v>13</v>
      </c>
      <c r="G40" s="26"/>
      <c r="H40" s="2"/>
      <c r="I40" s="2"/>
      <c r="J40" s="2"/>
    </row>
    <row r="41" spans="1:10" ht="15.75">
      <c r="A41" s="2" t="s">
        <v>31</v>
      </c>
      <c r="B41" s="2"/>
      <c r="C41" s="2"/>
      <c r="D41" s="2"/>
      <c r="E41" s="2"/>
      <c r="F41" s="2" t="s">
        <v>13</v>
      </c>
      <c r="G41" s="26"/>
      <c r="H41" s="2"/>
      <c r="I41" s="2"/>
      <c r="J41" s="2"/>
    </row>
    <row r="42" spans="1:10" ht="15.75">
      <c r="A42" s="2"/>
      <c r="B42" s="2"/>
      <c r="C42" s="2"/>
      <c r="D42" s="2"/>
      <c r="E42" s="2"/>
      <c r="F42" s="2"/>
      <c r="G42" s="26"/>
      <c r="H42" s="2"/>
      <c r="I42" s="2"/>
      <c r="J42" s="2"/>
    </row>
    <row r="43" spans="1:10" ht="15.75">
      <c r="A43" s="2"/>
      <c r="B43" s="2"/>
      <c r="C43" s="2"/>
      <c r="D43" s="2"/>
      <c r="E43" s="2"/>
      <c r="F43" s="2"/>
      <c r="G43" s="71" t="s">
        <v>32</v>
      </c>
      <c r="H43" s="71"/>
      <c r="I43" s="71"/>
      <c r="J43" s="71"/>
    </row>
    <row r="44" spans="1:10" ht="15.75">
      <c r="A44" s="2"/>
      <c r="B44" s="2"/>
      <c r="C44" s="2"/>
      <c r="D44" s="2"/>
      <c r="E44" s="2"/>
      <c r="F44" s="2"/>
      <c r="G44" s="55"/>
      <c r="H44" s="55"/>
      <c r="I44" s="55"/>
      <c r="J44" s="55"/>
    </row>
    <row r="45" spans="1:10" ht="15.7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7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>
      <c r="A47" s="2"/>
      <c r="B47" s="2"/>
      <c r="C47" s="2"/>
      <c r="D47" s="2"/>
      <c r="E47" s="2"/>
      <c r="F47" s="2"/>
      <c r="G47" s="73" t="s">
        <v>33</v>
      </c>
      <c r="H47" s="73"/>
      <c r="I47" s="73"/>
      <c r="J47" s="73"/>
    </row>
    <row r="48" spans="1:10" ht="15.75">
      <c r="A48" s="2"/>
      <c r="B48" s="2"/>
      <c r="C48" s="2"/>
      <c r="D48" s="2"/>
      <c r="E48" s="2"/>
      <c r="F48" s="2"/>
      <c r="G48" s="71" t="s">
        <v>34</v>
      </c>
      <c r="H48" s="71"/>
      <c r="I48" s="71"/>
      <c r="J48" s="71"/>
    </row>
    <row r="49" spans="1:10">
      <c r="A49" s="27"/>
      <c r="B49" s="27"/>
      <c r="C49" s="27"/>
      <c r="D49" s="27"/>
      <c r="E49" s="27"/>
      <c r="F49" s="27"/>
      <c r="G49" s="27"/>
      <c r="H49" s="27"/>
      <c r="I49" s="27"/>
      <c r="J49" s="27"/>
    </row>
    <row r="50" spans="1:10">
      <c r="A50" s="27"/>
      <c r="B50" s="27"/>
      <c r="C50" s="27"/>
      <c r="D50" s="27"/>
      <c r="E50" s="27"/>
      <c r="F50" s="27"/>
      <c r="G50" s="27"/>
      <c r="H50" s="27"/>
      <c r="I50" s="27"/>
      <c r="J50" s="27"/>
    </row>
    <row r="51" spans="1:10">
      <c r="A51" s="27"/>
      <c r="B51" s="27"/>
      <c r="C51" s="27"/>
      <c r="D51" s="27"/>
      <c r="E51" s="27"/>
      <c r="F51" s="27"/>
      <c r="G51" s="27"/>
      <c r="H51" s="27"/>
      <c r="I51" s="27"/>
      <c r="J51" s="27"/>
    </row>
    <row r="52" spans="1:10">
      <c r="A52" s="27"/>
      <c r="B52" s="27"/>
      <c r="C52" s="27"/>
      <c r="D52" s="27"/>
      <c r="E52" s="27"/>
      <c r="F52" s="27"/>
      <c r="G52" s="27"/>
      <c r="H52" s="27"/>
      <c r="I52" s="27"/>
      <c r="J52" s="27"/>
    </row>
  </sheetData>
  <mergeCells count="19">
    <mergeCell ref="G48:J48"/>
    <mergeCell ref="A33:E33"/>
    <mergeCell ref="I33:J33"/>
    <mergeCell ref="A34:E34"/>
    <mergeCell ref="A37:J37"/>
    <mergeCell ref="G43:J43"/>
    <mergeCell ref="G47:J47"/>
    <mergeCell ref="A30:E30"/>
    <mergeCell ref="A1:J1"/>
    <mergeCell ref="B7:G7"/>
    <mergeCell ref="H7:I7"/>
    <mergeCell ref="B8:G8"/>
    <mergeCell ref="H8:I8"/>
    <mergeCell ref="C11:D11"/>
    <mergeCell ref="C14:D14"/>
    <mergeCell ref="J20:J21"/>
    <mergeCell ref="C26:E26"/>
    <mergeCell ref="B29:E29"/>
    <mergeCell ref="I29:J29"/>
  </mergeCells>
  <pageMargins left="0.70866141732283505" right="0.70866141732283505" top="0.74803149606299202" bottom="0.74803149606299202" header="0.31496062992126" footer="0.31496062992126"/>
  <pageSetup scale="7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DED6-5059-4F05-A407-CD68F1C27914}">
  <sheetPr>
    <tabColor theme="0"/>
  </sheetPr>
  <dimension ref="A1:M52"/>
  <sheetViews>
    <sheetView view="pageBreakPreview" topLeftCell="A3" zoomScaleNormal="100" workbookViewId="0">
      <selection activeCell="G12" sqref="G12"/>
    </sheetView>
  </sheetViews>
  <sheetFormatPr defaultColWidth="9" defaultRowHeight="12.75"/>
  <cols>
    <col min="1" max="1" width="4.42578125" customWidth="1"/>
    <col min="2" max="2" width="7.85546875" customWidth="1"/>
    <col min="3" max="3" width="5" customWidth="1"/>
    <col min="4" max="4" width="2.5703125" customWidth="1"/>
    <col min="5" max="5" width="18.85546875" customWidth="1"/>
    <col min="7" max="7" width="14" customWidth="1"/>
    <col min="8" max="8" width="4.140625" customWidth="1"/>
    <col min="9" max="9" width="14.140625" customWidth="1"/>
    <col min="10" max="10" width="36.7109375" customWidth="1"/>
  </cols>
  <sheetData>
    <row r="1" spans="1:13" ht="18.7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</row>
    <row r="2" spans="1:13" ht="15.7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3" ht="15.75">
      <c r="A3" s="2" t="s">
        <v>1</v>
      </c>
      <c r="B3" s="2"/>
      <c r="C3" s="2"/>
      <c r="D3" s="2" t="s">
        <v>2</v>
      </c>
      <c r="E3" s="3" t="s">
        <v>45</v>
      </c>
      <c r="F3" s="2"/>
      <c r="G3" s="2"/>
      <c r="H3" s="2"/>
      <c r="I3" s="2"/>
      <c r="J3" s="2"/>
    </row>
    <row r="4" spans="1:13" ht="15.75">
      <c r="A4" s="2" t="s">
        <v>3</v>
      </c>
      <c r="B4" s="2"/>
      <c r="C4" s="2"/>
      <c r="D4" s="2" t="s">
        <v>2</v>
      </c>
      <c r="E4" s="44" t="s">
        <v>46</v>
      </c>
      <c r="F4" s="2"/>
      <c r="G4" s="2"/>
      <c r="H4" s="2"/>
      <c r="I4" s="2"/>
      <c r="J4" s="2"/>
    </row>
    <row r="5" spans="1:13" ht="15.75">
      <c r="A5" s="2" t="s">
        <v>4</v>
      </c>
      <c r="B5" s="2"/>
      <c r="C5" s="2"/>
      <c r="D5" s="4" t="s">
        <v>2</v>
      </c>
      <c r="E5" s="45" t="s">
        <v>40</v>
      </c>
      <c r="F5" s="4"/>
      <c r="G5" s="2"/>
      <c r="H5" s="2"/>
      <c r="I5" s="2"/>
      <c r="J5" s="2"/>
      <c r="L5" t="e">
        <f ca="1">[1]!terbilang(I20,3,"Rupiah")</f>
        <v>#NAME?</v>
      </c>
    </row>
    <row r="6" spans="1:13" ht="8.2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spans="1:13" ht="15.75">
      <c r="A7" s="5" t="s">
        <v>5</v>
      </c>
      <c r="B7" s="63" t="s">
        <v>6</v>
      </c>
      <c r="C7" s="64"/>
      <c r="D7" s="64"/>
      <c r="E7" s="64"/>
      <c r="F7" s="64"/>
      <c r="G7" s="65"/>
      <c r="H7" s="63" t="s">
        <v>7</v>
      </c>
      <c r="I7" s="65"/>
      <c r="J7" s="5" t="s">
        <v>8</v>
      </c>
      <c r="M7">
        <v>480</v>
      </c>
    </row>
    <row r="8" spans="1:13" ht="15.75">
      <c r="A8" s="6">
        <v>1</v>
      </c>
      <c r="B8" s="66">
        <v>2</v>
      </c>
      <c r="C8" s="67"/>
      <c r="D8" s="67"/>
      <c r="E8" s="67"/>
      <c r="F8" s="67"/>
      <c r="G8" s="68"/>
      <c r="H8" s="66">
        <v>3</v>
      </c>
      <c r="I8" s="68"/>
      <c r="J8" s="6">
        <v>4</v>
      </c>
      <c r="M8">
        <v>225</v>
      </c>
    </row>
    <row r="9" spans="1:13" ht="4.5" customHeight="1">
      <c r="A9" s="7"/>
      <c r="B9" s="7"/>
      <c r="C9" s="8"/>
      <c r="D9" s="8"/>
      <c r="E9" s="8"/>
      <c r="F9" s="8"/>
      <c r="G9" s="9"/>
      <c r="H9" s="8"/>
      <c r="I9" s="8"/>
      <c r="J9" s="28"/>
      <c r="M9">
        <f>SUM(M7:M8)</f>
        <v>705</v>
      </c>
    </row>
    <row r="10" spans="1:13" ht="15.75">
      <c r="A10" s="46" t="s">
        <v>9</v>
      </c>
      <c r="B10" s="11" t="s">
        <v>10</v>
      </c>
      <c r="C10" s="12"/>
      <c r="D10" s="12"/>
      <c r="E10" s="12"/>
      <c r="F10" s="12"/>
      <c r="G10" s="13"/>
      <c r="H10" s="12"/>
      <c r="I10" s="12"/>
      <c r="J10" s="29" t="s">
        <v>11</v>
      </c>
    </row>
    <row r="11" spans="1:13" ht="15.75">
      <c r="A11" s="10"/>
      <c r="B11" s="10">
        <v>3</v>
      </c>
      <c r="C11" s="69" t="s">
        <v>12</v>
      </c>
      <c r="D11" s="69"/>
      <c r="E11" s="12" t="s">
        <v>13</v>
      </c>
      <c r="F11" s="12"/>
      <c r="G11" s="14">
        <v>360000</v>
      </c>
      <c r="H11" s="12" t="s">
        <v>13</v>
      </c>
      <c r="I11" s="30">
        <f>G11*B11</f>
        <v>1080000</v>
      </c>
      <c r="J11" s="31"/>
      <c r="M11">
        <f>SUM(M7:M8)</f>
        <v>705</v>
      </c>
    </row>
    <row r="12" spans="1:13" ht="15.75">
      <c r="A12" s="15"/>
      <c r="B12" s="10"/>
      <c r="C12" s="56"/>
      <c r="D12" s="56"/>
      <c r="E12" s="12"/>
      <c r="F12" s="12"/>
      <c r="G12" s="14"/>
      <c r="H12" s="16"/>
      <c r="I12" s="32"/>
      <c r="J12" s="33"/>
    </row>
    <row r="13" spans="1:13" ht="15.75">
      <c r="A13" s="46" t="s">
        <v>14</v>
      </c>
      <c r="B13" s="11" t="s">
        <v>15</v>
      </c>
      <c r="C13" s="12"/>
      <c r="D13" s="12"/>
      <c r="E13" s="12" t="s">
        <v>16</v>
      </c>
      <c r="F13" s="12"/>
      <c r="G13" s="13"/>
      <c r="H13" s="12"/>
      <c r="I13" s="34"/>
      <c r="J13" s="35"/>
    </row>
    <row r="14" spans="1:13" ht="15.75">
      <c r="A14" s="10"/>
      <c r="B14" s="10">
        <v>2</v>
      </c>
      <c r="C14" s="69" t="s">
        <v>12</v>
      </c>
      <c r="D14" s="69"/>
      <c r="E14" s="17" t="s">
        <v>13</v>
      </c>
      <c r="F14" s="12"/>
      <c r="G14" s="14">
        <v>750000</v>
      </c>
      <c r="H14" s="12" t="s">
        <v>13</v>
      </c>
      <c r="I14" s="36">
        <f>SUM(G14*B14)</f>
        <v>1500000</v>
      </c>
      <c r="J14" s="35"/>
      <c r="M14">
        <f>290000/13900</f>
        <v>20.863309352517987</v>
      </c>
    </row>
    <row r="15" spans="1:13" ht="15.75">
      <c r="A15" s="10"/>
      <c r="B15" s="10"/>
      <c r="C15" s="56"/>
      <c r="D15" s="56"/>
      <c r="E15" s="17"/>
      <c r="F15" s="12"/>
      <c r="G15" s="14"/>
      <c r="H15" s="12"/>
      <c r="I15" s="34"/>
      <c r="J15" s="35"/>
    </row>
    <row r="16" spans="1:13" ht="15.75">
      <c r="A16" s="46" t="s">
        <v>17</v>
      </c>
      <c r="B16" s="18" t="s">
        <v>18</v>
      </c>
      <c r="C16" s="12"/>
      <c r="D16" s="12"/>
      <c r="E16" s="12" t="s">
        <v>16</v>
      </c>
      <c r="F16" s="12"/>
      <c r="G16" s="13"/>
      <c r="H16" s="12"/>
      <c r="I16" s="56"/>
      <c r="J16" s="35"/>
    </row>
    <row r="17" spans="1:13" ht="15.75">
      <c r="A17" s="10"/>
      <c r="B17" s="11" t="s">
        <v>35</v>
      </c>
      <c r="C17" s="12"/>
      <c r="D17" s="12"/>
      <c r="E17" s="12"/>
      <c r="F17" s="12"/>
      <c r="G17" s="14"/>
      <c r="H17" s="12"/>
      <c r="I17" s="37"/>
      <c r="J17" s="38"/>
    </row>
    <row r="18" spans="1:13" ht="15.75">
      <c r="A18" s="10"/>
      <c r="B18" s="11" t="s">
        <v>20</v>
      </c>
      <c r="C18" s="12"/>
      <c r="D18" s="12"/>
      <c r="E18" s="12"/>
      <c r="F18" s="12"/>
      <c r="G18" s="19">
        <v>200000</v>
      </c>
      <c r="H18" s="12" t="s">
        <v>13</v>
      </c>
      <c r="I18" s="39">
        <f>SUM(G18*1)</f>
        <v>200000</v>
      </c>
      <c r="J18" s="38"/>
    </row>
    <row r="19" spans="1:13" ht="15.75">
      <c r="A19" s="10"/>
      <c r="B19" s="11"/>
      <c r="C19" s="12"/>
      <c r="D19" s="12"/>
      <c r="E19" s="12"/>
      <c r="F19" s="12"/>
      <c r="G19" s="13"/>
      <c r="H19" s="12"/>
      <c r="I19" s="40"/>
      <c r="J19" s="35"/>
      <c r="M19" s="49"/>
    </row>
    <row r="20" spans="1:13" ht="15.75" customHeight="1">
      <c r="A20" s="7"/>
      <c r="B20" s="7" t="s">
        <v>21</v>
      </c>
      <c r="C20" s="8"/>
      <c r="D20" s="8"/>
      <c r="E20" s="8"/>
      <c r="F20" s="8"/>
      <c r="G20" s="8"/>
      <c r="H20" s="7" t="s">
        <v>13</v>
      </c>
      <c r="I20" s="41">
        <f>SUM(I11:I18)</f>
        <v>2780000</v>
      </c>
      <c r="J20" s="74" t="str">
        <f t="array" ref="J20">[2]!terbilang(I20,3,"Rupiah")</f>
        <v>Dua Juta Tujuh Ratus Delapan Puluh Ribu Rupiah</v>
      </c>
    </row>
    <row r="21" spans="1:13" ht="22.5" customHeight="1" thickBot="1">
      <c r="A21" s="20"/>
      <c r="B21" s="20"/>
      <c r="C21" s="21"/>
      <c r="D21" s="21"/>
      <c r="E21" s="21"/>
      <c r="F21" s="21"/>
      <c r="G21" s="21"/>
      <c r="H21" s="20"/>
      <c r="I21" s="21"/>
      <c r="J21" s="75"/>
    </row>
    <row r="22" spans="1:13" ht="6.75" customHeight="1" thickTop="1">
      <c r="A22" s="2"/>
      <c r="B22" s="2"/>
      <c r="C22" s="2"/>
      <c r="D22" s="2"/>
      <c r="E22" s="2"/>
      <c r="F22" s="2"/>
      <c r="G22" s="2"/>
      <c r="H22" s="2"/>
      <c r="I22" s="2"/>
      <c r="J22" s="42"/>
    </row>
    <row r="23" spans="1:13" ht="15.75">
      <c r="A23" s="2"/>
      <c r="B23" s="2"/>
      <c r="C23" s="2"/>
      <c r="D23" s="2"/>
      <c r="E23" s="2"/>
      <c r="F23" s="2"/>
      <c r="G23" s="2"/>
      <c r="H23" s="2"/>
      <c r="I23" s="2" t="s">
        <v>49</v>
      </c>
      <c r="J23" s="2"/>
    </row>
    <row r="24" spans="1:13" ht="15.7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3" ht="15.75">
      <c r="A25" s="2"/>
      <c r="B25" s="2" t="s">
        <v>22</v>
      </c>
      <c r="C25" s="2"/>
      <c r="D25" s="2"/>
      <c r="E25" s="2"/>
      <c r="F25" s="2"/>
      <c r="G25" s="2"/>
      <c r="H25" s="2" t="s">
        <v>23</v>
      </c>
      <c r="I25" s="2"/>
      <c r="J25" s="2"/>
    </row>
    <row r="26" spans="1:13" ht="15.75">
      <c r="A26" s="2"/>
      <c r="B26" s="2" t="s">
        <v>13</v>
      </c>
      <c r="C26" s="70">
        <f>I20</f>
        <v>2780000</v>
      </c>
      <c r="D26" s="70"/>
      <c r="E26" s="70"/>
      <c r="F26" s="22"/>
      <c r="G26" s="2"/>
      <c r="H26" s="2" t="s">
        <v>13</v>
      </c>
      <c r="I26" s="43">
        <f>C26</f>
        <v>2780000</v>
      </c>
      <c r="J26" s="2"/>
    </row>
    <row r="27" spans="1:13" ht="15.7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3" ht="15.7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3" ht="15.75">
      <c r="A29" s="2"/>
      <c r="B29" s="71" t="s">
        <v>24</v>
      </c>
      <c r="C29" s="71"/>
      <c r="D29" s="71"/>
      <c r="E29" s="71"/>
      <c r="F29" s="55"/>
      <c r="G29" s="2"/>
      <c r="H29" s="2"/>
      <c r="I29" s="71" t="s">
        <v>25</v>
      </c>
      <c r="J29" s="71"/>
    </row>
    <row r="30" spans="1:13" ht="15.75">
      <c r="A30" s="71"/>
      <c r="B30" s="71"/>
      <c r="C30" s="71"/>
      <c r="D30" s="71"/>
      <c r="E30" s="71"/>
      <c r="F30" s="55"/>
      <c r="H30" s="2"/>
      <c r="I30" s="55"/>
      <c r="J30" s="55"/>
    </row>
    <row r="31" spans="1:13" ht="15.7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3" ht="15.7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>
      <c r="A33" s="73" t="s">
        <v>26</v>
      </c>
      <c r="B33" s="73"/>
      <c r="C33" s="73"/>
      <c r="D33" s="73"/>
      <c r="E33" s="73"/>
      <c r="F33" s="23"/>
      <c r="G33" s="2"/>
      <c r="H33" s="2"/>
      <c r="I33" s="73" t="str">
        <f>E3</f>
        <v>Muslim</v>
      </c>
      <c r="J33" s="73"/>
    </row>
    <row r="34" spans="1:10" ht="15.75">
      <c r="A34" s="71" t="s">
        <v>27</v>
      </c>
      <c r="B34" s="71"/>
      <c r="C34" s="71"/>
      <c r="D34" s="71"/>
      <c r="E34" s="71"/>
      <c r="F34" s="24"/>
      <c r="G34" s="2"/>
      <c r="H34" s="2"/>
      <c r="I34" s="2"/>
      <c r="J34" s="2"/>
    </row>
    <row r="35" spans="1:10" ht="15.75">
      <c r="A35" s="2"/>
      <c r="B35" s="55"/>
      <c r="C35" s="55"/>
      <c r="D35" s="55"/>
      <c r="E35" s="55"/>
      <c r="F35" s="55"/>
      <c r="G35" s="2"/>
      <c r="H35" s="2"/>
      <c r="I35" s="2"/>
      <c r="J35" s="2"/>
    </row>
    <row r="36" spans="1:10" ht="15.7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8.75">
      <c r="A37" s="72" t="s">
        <v>28</v>
      </c>
      <c r="B37" s="72"/>
      <c r="C37" s="72"/>
      <c r="D37" s="72"/>
      <c r="E37" s="72"/>
      <c r="F37" s="72"/>
      <c r="G37" s="72"/>
      <c r="H37" s="72"/>
      <c r="I37" s="72"/>
      <c r="J37" s="72"/>
    </row>
    <row r="38" spans="1:10" ht="15.7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.75">
      <c r="A39" s="2" t="s">
        <v>29</v>
      </c>
      <c r="B39" s="2"/>
      <c r="C39" s="2"/>
      <c r="D39" s="2"/>
      <c r="E39" s="2"/>
      <c r="F39" s="2" t="s">
        <v>13</v>
      </c>
      <c r="G39" s="25">
        <f>I26</f>
        <v>2780000</v>
      </c>
      <c r="H39" s="2"/>
      <c r="I39" s="2"/>
      <c r="J39" s="2"/>
    </row>
    <row r="40" spans="1:10" ht="15.75">
      <c r="A40" s="2" t="s">
        <v>30</v>
      </c>
      <c r="B40" s="2"/>
      <c r="C40" s="2"/>
      <c r="D40" s="2"/>
      <c r="E40" s="2"/>
      <c r="F40" s="2" t="s">
        <v>13</v>
      </c>
      <c r="G40" s="26"/>
      <c r="H40" s="2"/>
      <c r="I40" s="2"/>
      <c r="J40" s="2"/>
    </row>
    <row r="41" spans="1:10" ht="15.75">
      <c r="A41" s="2" t="s">
        <v>31</v>
      </c>
      <c r="B41" s="2"/>
      <c r="C41" s="2"/>
      <c r="D41" s="2"/>
      <c r="E41" s="2"/>
      <c r="F41" s="2" t="s">
        <v>13</v>
      </c>
      <c r="G41" s="26"/>
      <c r="H41" s="2"/>
      <c r="I41" s="2"/>
      <c r="J41" s="2"/>
    </row>
    <row r="42" spans="1:10" ht="15.75">
      <c r="A42" s="2"/>
      <c r="B42" s="2"/>
      <c r="C42" s="2"/>
      <c r="D42" s="2"/>
      <c r="E42" s="2"/>
      <c r="F42" s="2"/>
      <c r="G42" s="26"/>
      <c r="H42" s="2"/>
      <c r="I42" s="2"/>
      <c r="J42" s="2"/>
    </row>
    <row r="43" spans="1:10" ht="15.75">
      <c r="A43" s="2"/>
      <c r="B43" s="2"/>
      <c r="C43" s="2"/>
      <c r="D43" s="2"/>
      <c r="E43" s="2"/>
      <c r="F43" s="2"/>
      <c r="G43" s="71" t="s">
        <v>32</v>
      </c>
      <c r="H43" s="71"/>
      <c r="I43" s="71"/>
      <c r="J43" s="71"/>
    </row>
    <row r="44" spans="1:10" ht="15.75">
      <c r="A44" s="2"/>
      <c r="B44" s="2"/>
      <c r="C44" s="2"/>
      <c r="D44" s="2"/>
      <c r="E44" s="2"/>
      <c r="F44" s="2"/>
      <c r="G44" s="55"/>
      <c r="H44" s="55"/>
      <c r="I44" s="55"/>
      <c r="J44" s="55"/>
    </row>
    <row r="45" spans="1:10" ht="15.7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7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>
      <c r="A47" s="2"/>
      <c r="B47" s="2"/>
      <c r="C47" s="2"/>
      <c r="D47" s="2"/>
      <c r="E47" s="2"/>
      <c r="F47" s="2"/>
      <c r="G47" s="73" t="s">
        <v>33</v>
      </c>
      <c r="H47" s="73"/>
      <c r="I47" s="73"/>
      <c r="J47" s="73"/>
    </row>
    <row r="48" spans="1:10" ht="15.75">
      <c r="A48" s="2"/>
      <c r="B48" s="2"/>
      <c r="C48" s="2"/>
      <c r="D48" s="2"/>
      <c r="E48" s="2"/>
      <c r="F48" s="2"/>
      <c r="G48" s="71" t="s">
        <v>34</v>
      </c>
      <c r="H48" s="71"/>
      <c r="I48" s="71"/>
      <c r="J48" s="71"/>
    </row>
    <row r="49" spans="1:10">
      <c r="A49" s="27"/>
      <c r="B49" s="27"/>
      <c r="C49" s="27"/>
      <c r="D49" s="27"/>
      <c r="E49" s="27"/>
      <c r="F49" s="27"/>
      <c r="G49" s="27"/>
      <c r="H49" s="27"/>
      <c r="I49" s="27"/>
      <c r="J49" s="27"/>
    </row>
    <row r="50" spans="1:10">
      <c r="A50" s="27"/>
      <c r="B50" s="27"/>
      <c r="C50" s="27"/>
      <c r="D50" s="27"/>
      <c r="E50" s="27"/>
      <c r="F50" s="27"/>
      <c r="G50" s="27"/>
      <c r="H50" s="27"/>
      <c r="I50" s="27"/>
      <c r="J50" s="27"/>
    </row>
    <row r="51" spans="1:10">
      <c r="A51" s="27"/>
      <c r="B51" s="27"/>
      <c r="C51" s="27"/>
      <c r="D51" s="27"/>
      <c r="E51" s="27"/>
      <c r="F51" s="27"/>
      <c r="G51" s="27"/>
      <c r="H51" s="27"/>
      <c r="I51" s="27"/>
      <c r="J51" s="27"/>
    </row>
    <row r="52" spans="1:10">
      <c r="A52" s="27"/>
      <c r="B52" s="27"/>
      <c r="C52" s="27"/>
      <c r="D52" s="27"/>
      <c r="E52" s="27"/>
      <c r="F52" s="27"/>
      <c r="G52" s="27"/>
      <c r="H52" s="27"/>
      <c r="I52" s="27"/>
      <c r="J52" s="27"/>
    </row>
  </sheetData>
  <mergeCells count="19">
    <mergeCell ref="G48:J48"/>
    <mergeCell ref="A33:E33"/>
    <mergeCell ref="I33:J33"/>
    <mergeCell ref="A34:E34"/>
    <mergeCell ref="A37:J37"/>
    <mergeCell ref="G43:J43"/>
    <mergeCell ref="G47:J47"/>
    <mergeCell ref="A30:E30"/>
    <mergeCell ref="A1:J1"/>
    <mergeCell ref="B7:G7"/>
    <mergeCell ref="H7:I7"/>
    <mergeCell ref="B8:G8"/>
    <mergeCell ref="H8:I8"/>
    <mergeCell ref="C11:D11"/>
    <mergeCell ref="C14:D14"/>
    <mergeCell ref="J20:J21"/>
    <mergeCell ref="C26:E26"/>
    <mergeCell ref="B29:E29"/>
    <mergeCell ref="I29:J29"/>
  </mergeCells>
  <pageMargins left="0.70866141732283505" right="0.70866141732283505" top="0.74803149606299202" bottom="0.74803149606299202" header="0.31496062992126" footer="0.31496062992126"/>
  <pageSetup scale="7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DD57-0032-4E32-9218-7D3A49743274}">
  <sheetPr>
    <tabColor theme="0"/>
  </sheetPr>
  <dimension ref="A1:N58"/>
  <sheetViews>
    <sheetView view="pageBreakPreview" topLeftCell="A4" zoomScale="85" zoomScaleNormal="100" workbookViewId="0">
      <selection activeCell="J3" sqref="J3"/>
    </sheetView>
  </sheetViews>
  <sheetFormatPr defaultColWidth="9" defaultRowHeight="12.75"/>
  <cols>
    <col min="1" max="1" width="4.42578125" customWidth="1"/>
    <col min="2" max="2" width="7.85546875" customWidth="1"/>
    <col min="3" max="3" width="5" customWidth="1"/>
    <col min="4" max="4" width="2.5703125" customWidth="1"/>
    <col min="5" max="5" width="18.85546875" customWidth="1"/>
    <col min="7" max="7" width="14" customWidth="1"/>
    <col min="8" max="8" width="4.140625" customWidth="1"/>
    <col min="9" max="9" width="14.140625" customWidth="1"/>
    <col min="10" max="10" width="36.7109375" customWidth="1"/>
    <col min="14" max="14" width="13.28515625" style="1" customWidth="1"/>
  </cols>
  <sheetData>
    <row r="1" spans="1:13" ht="18.7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</row>
    <row r="2" spans="1:13" ht="15.7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3" ht="15.75">
      <c r="A3" s="2" t="s">
        <v>1</v>
      </c>
      <c r="B3" s="2"/>
      <c r="C3" s="2"/>
      <c r="D3" s="2" t="s">
        <v>2</v>
      </c>
      <c r="E3" s="50" t="s">
        <v>51</v>
      </c>
      <c r="F3" s="2"/>
      <c r="G3" s="2"/>
      <c r="H3" s="2"/>
      <c r="I3" s="2"/>
      <c r="J3" s="2"/>
    </row>
    <row r="4" spans="1:13" ht="15.75">
      <c r="A4" s="2" t="s">
        <v>3</v>
      </c>
      <c r="B4" s="2"/>
      <c r="C4" s="2"/>
      <c r="D4" s="2" t="s">
        <v>2</v>
      </c>
      <c r="E4" s="51" t="s">
        <v>58</v>
      </c>
      <c r="F4" s="2"/>
      <c r="G4" s="2"/>
      <c r="H4" s="2"/>
      <c r="I4" s="2"/>
      <c r="J4" s="2"/>
    </row>
    <row r="5" spans="1:13" ht="15.75">
      <c r="A5" s="2" t="s">
        <v>4</v>
      </c>
      <c r="B5" s="2"/>
      <c r="C5" s="2"/>
      <c r="D5" s="4" t="s">
        <v>2</v>
      </c>
      <c r="E5" s="52" t="s">
        <v>55</v>
      </c>
      <c r="F5" s="4"/>
      <c r="G5" s="2"/>
      <c r="H5" s="2"/>
      <c r="I5" s="2"/>
      <c r="J5" s="2"/>
    </row>
    <row r="6" spans="1:13" ht="8.2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spans="1:13" ht="15.75">
      <c r="A7" s="5" t="s">
        <v>5</v>
      </c>
      <c r="B7" s="63" t="s">
        <v>6</v>
      </c>
      <c r="C7" s="64"/>
      <c r="D7" s="64"/>
      <c r="E7" s="64"/>
      <c r="F7" s="64"/>
      <c r="G7" s="65"/>
      <c r="H7" s="63" t="s">
        <v>7</v>
      </c>
      <c r="I7" s="65"/>
      <c r="J7" s="5" t="s">
        <v>8</v>
      </c>
    </row>
    <row r="8" spans="1:13" ht="15.75">
      <c r="A8" s="6">
        <v>1</v>
      </c>
      <c r="B8" s="66">
        <v>2</v>
      </c>
      <c r="C8" s="67"/>
      <c r="D8" s="67"/>
      <c r="E8" s="67"/>
      <c r="F8" s="67"/>
      <c r="G8" s="68"/>
      <c r="H8" s="66">
        <v>3</v>
      </c>
      <c r="I8" s="68"/>
      <c r="J8" s="6">
        <v>4</v>
      </c>
    </row>
    <row r="9" spans="1:13" ht="4.5" customHeight="1">
      <c r="A9" s="7"/>
      <c r="B9" s="7"/>
      <c r="C9" s="8"/>
      <c r="D9" s="8"/>
      <c r="E9" s="8"/>
      <c r="F9" s="8"/>
      <c r="G9" s="9"/>
      <c r="H9" s="8"/>
      <c r="I9" s="8"/>
      <c r="J9" s="28"/>
      <c r="M9">
        <f>SUM(M7:M8)</f>
        <v>0</v>
      </c>
    </row>
    <row r="10" spans="1:13" ht="15.75">
      <c r="A10" s="46" t="s">
        <v>9</v>
      </c>
      <c r="B10" s="11" t="s">
        <v>10</v>
      </c>
      <c r="C10" s="12"/>
      <c r="D10" s="12"/>
      <c r="E10" s="12"/>
      <c r="F10" s="12"/>
      <c r="G10" s="13"/>
      <c r="H10" s="12"/>
      <c r="I10" s="12"/>
      <c r="J10" s="29" t="s">
        <v>11</v>
      </c>
    </row>
    <row r="11" spans="1:13" s="1" customFormat="1" ht="15.75">
      <c r="A11" s="10"/>
      <c r="B11" s="10">
        <v>2</v>
      </c>
      <c r="C11" s="69" t="s">
        <v>12</v>
      </c>
      <c r="D11" s="69"/>
      <c r="E11" s="12" t="s">
        <v>13</v>
      </c>
      <c r="F11" s="12"/>
      <c r="G11" s="14">
        <v>360000</v>
      </c>
      <c r="H11" s="12" t="s">
        <v>13</v>
      </c>
      <c r="I11" s="30">
        <f>G11*B11</f>
        <v>720000</v>
      </c>
      <c r="J11" s="31"/>
      <c r="K11"/>
      <c r="L11"/>
      <c r="M11"/>
    </row>
    <row r="12" spans="1:13" s="1" customFormat="1" ht="15.75">
      <c r="A12" s="10"/>
      <c r="B12" s="10">
        <v>4</v>
      </c>
      <c r="C12" s="69" t="s">
        <v>12</v>
      </c>
      <c r="D12" s="69"/>
      <c r="E12" s="12" t="s">
        <v>13</v>
      </c>
      <c r="F12" s="12"/>
      <c r="G12" s="14">
        <v>180000</v>
      </c>
      <c r="H12" s="12" t="s">
        <v>13</v>
      </c>
      <c r="I12" s="30">
        <f>G12*B12</f>
        <v>720000</v>
      </c>
      <c r="J12" s="31"/>
      <c r="K12"/>
      <c r="L12"/>
      <c r="M12"/>
    </row>
    <row r="13" spans="1:13" s="1" customFormat="1" ht="15.75">
      <c r="A13" s="15"/>
      <c r="B13" s="10"/>
      <c r="C13" s="61"/>
      <c r="D13" s="61"/>
      <c r="E13" s="12"/>
      <c r="F13" s="12"/>
      <c r="G13" s="14"/>
      <c r="H13" s="12"/>
      <c r="I13" s="34"/>
      <c r="J13" s="33"/>
      <c r="K13"/>
      <c r="L13"/>
      <c r="M13"/>
    </row>
    <row r="14" spans="1:13" s="1" customFormat="1" ht="15.75">
      <c r="A14" s="10">
        <v>2</v>
      </c>
      <c r="B14" s="11" t="s">
        <v>15</v>
      </c>
      <c r="C14" s="12"/>
      <c r="D14" s="12"/>
      <c r="E14" s="12" t="s">
        <v>16</v>
      </c>
      <c r="F14" s="12"/>
      <c r="G14" s="13"/>
      <c r="H14" s="12"/>
      <c r="I14" s="34"/>
      <c r="J14" s="35"/>
      <c r="K14"/>
      <c r="L14"/>
      <c r="M14"/>
    </row>
    <row r="15" spans="1:13" s="1" customFormat="1" ht="15.75">
      <c r="A15" s="10"/>
      <c r="B15" s="10">
        <v>2</v>
      </c>
      <c r="C15" s="69" t="s">
        <v>12</v>
      </c>
      <c r="D15" s="69"/>
      <c r="E15" s="17" t="s">
        <v>13</v>
      </c>
      <c r="F15" s="12"/>
      <c r="G15" s="14">
        <v>750000</v>
      </c>
      <c r="H15" s="12" t="s">
        <v>13</v>
      </c>
      <c r="I15" s="36">
        <f>SUM(G15*B15)</f>
        <v>1500000</v>
      </c>
      <c r="J15" s="35"/>
      <c r="K15"/>
      <c r="L15"/>
      <c r="M15"/>
    </row>
    <row r="16" spans="1:13" s="1" customFormat="1" ht="15.75">
      <c r="A16" s="10"/>
      <c r="B16" s="10"/>
      <c r="C16" s="61"/>
      <c r="D16" s="61"/>
      <c r="E16" s="17"/>
      <c r="F16" s="12"/>
      <c r="G16" s="14"/>
      <c r="H16" s="12"/>
      <c r="I16" s="36"/>
      <c r="J16" s="35"/>
      <c r="K16"/>
      <c r="L16"/>
      <c r="M16"/>
    </row>
    <row r="17" spans="1:14" s="1" customFormat="1" ht="15.75">
      <c r="A17" s="10">
        <v>3</v>
      </c>
      <c r="B17" s="18" t="s">
        <v>18</v>
      </c>
      <c r="C17" s="12"/>
      <c r="D17" s="12"/>
      <c r="E17" s="12" t="s">
        <v>16</v>
      </c>
      <c r="F17" s="12"/>
      <c r="G17" s="13"/>
      <c r="H17" s="12"/>
      <c r="I17" s="61"/>
      <c r="J17" s="35"/>
      <c r="K17"/>
      <c r="L17"/>
      <c r="M17"/>
    </row>
    <row r="18" spans="1:14" ht="15.75">
      <c r="A18" s="10"/>
      <c r="B18" s="11" t="s">
        <v>37</v>
      </c>
      <c r="C18" s="12"/>
      <c r="D18" s="12"/>
      <c r="E18" s="12"/>
      <c r="F18" s="12"/>
      <c r="G18" s="14"/>
      <c r="H18" s="12"/>
      <c r="I18" s="37"/>
      <c r="J18" s="38"/>
    </row>
    <row r="19" spans="1:14" ht="15.75">
      <c r="A19" s="10"/>
      <c r="B19" s="53" t="s">
        <v>39</v>
      </c>
      <c r="C19" s="12"/>
      <c r="D19" s="12"/>
      <c r="E19" s="12"/>
      <c r="F19" s="12"/>
      <c r="G19" s="57">
        <v>3042000</v>
      </c>
      <c r="H19" s="58"/>
      <c r="I19" s="59">
        <f t="shared" ref="I19:I21" si="0">SUM(G19)</f>
        <v>3042000</v>
      </c>
      <c r="J19" s="38"/>
    </row>
    <row r="20" spans="1:14" ht="15.75">
      <c r="A20" s="10"/>
      <c r="B20" s="53" t="s">
        <v>50</v>
      </c>
      <c r="C20" s="12"/>
      <c r="D20" s="12"/>
      <c r="E20" s="12"/>
      <c r="F20" s="12"/>
      <c r="G20" s="57">
        <v>2974500</v>
      </c>
      <c r="H20" s="58"/>
      <c r="I20" s="59">
        <f t="shared" si="0"/>
        <v>2974500</v>
      </c>
      <c r="J20" s="38"/>
    </row>
    <row r="21" spans="1:14" ht="15.75">
      <c r="A21" s="10"/>
      <c r="B21" s="11" t="s">
        <v>38</v>
      </c>
      <c r="C21" s="12"/>
      <c r="D21" s="12"/>
      <c r="E21" s="12"/>
      <c r="F21" s="12"/>
      <c r="G21" s="14">
        <v>500000</v>
      </c>
      <c r="H21" s="12"/>
      <c r="I21" s="37">
        <f t="shared" si="0"/>
        <v>500000</v>
      </c>
      <c r="J21" s="38"/>
    </row>
    <row r="22" spans="1:14" ht="15.75">
      <c r="A22" s="10"/>
      <c r="B22" s="11"/>
      <c r="C22" s="12"/>
      <c r="D22" s="12"/>
      <c r="E22" s="12"/>
      <c r="F22" s="12"/>
      <c r="G22" s="14"/>
      <c r="H22" s="12"/>
      <c r="I22" s="37"/>
      <c r="J22" s="38"/>
    </row>
    <row r="23" spans="1:14" ht="15.75">
      <c r="A23" s="10"/>
      <c r="B23" s="11" t="s">
        <v>35</v>
      </c>
      <c r="C23" s="12"/>
      <c r="D23" s="12"/>
      <c r="E23" s="12"/>
      <c r="F23" s="12"/>
      <c r="G23" s="14"/>
      <c r="H23" s="12"/>
      <c r="I23" s="37"/>
      <c r="J23" s="38"/>
    </row>
    <row r="24" spans="1:14" ht="15.75">
      <c r="A24" s="10"/>
      <c r="B24" s="11" t="s">
        <v>52</v>
      </c>
      <c r="C24" s="12"/>
      <c r="D24" s="12"/>
      <c r="E24" s="12"/>
      <c r="F24" s="12"/>
      <c r="G24" s="19">
        <v>200000</v>
      </c>
      <c r="H24" s="12" t="s">
        <v>13</v>
      </c>
      <c r="I24" s="39">
        <f>SUM(G24)</f>
        <v>200000</v>
      </c>
      <c r="J24" s="38"/>
    </row>
    <row r="25" spans="1:14" ht="15.75">
      <c r="A25" s="10"/>
      <c r="B25" s="11" t="s">
        <v>53</v>
      </c>
      <c r="C25" s="12"/>
      <c r="D25" s="12"/>
      <c r="E25" s="12"/>
      <c r="F25" s="12"/>
      <c r="G25" s="19">
        <v>240000</v>
      </c>
      <c r="H25" s="12" t="s">
        <v>13</v>
      </c>
      <c r="I25" s="39">
        <f>SUM(G25)</f>
        <v>240000</v>
      </c>
      <c r="J25" s="38"/>
    </row>
    <row r="26" spans="1:14" ht="15.75" customHeight="1">
      <c r="A26" s="7"/>
      <c r="B26" s="7" t="s">
        <v>21</v>
      </c>
      <c r="C26" s="8"/>
      <c r="D26" s="8"/>
      <c r="E26" s="8"/>
      <c r="F26" s="8"/>
      <c r="G26" s="8"/>
      <c r="H26" s="7" t="s">
        <v>13</v>
      </c>
      <c r="I26" s="41">
        <f>SUM(I11:I25)</f>
        <v>9896500</v>
      </c>
      <c r="J26" s="74" t="s">
        <v>57</v>
      </c>
      <c r="N26" s="1" t="e">
        <f>SUM(#REF!-1900000-35000000)</f>
        <v>#REF!</v>
      </c>
    </row>
    <row r="27" spans="1:14" ht="22.5" customHeight="1" thickBot="1">
      <c r="A27" s="20"/>
      <c r="B27" s="20"/>
      <c r="C27" s="21"/>
      <c r="D27" s="21"/>
      <c r="E27" s="21"/>
      <c r="F27" s="21"/>
      <c r="G27" s="21"/>
      <c r="H27" s="20"/>
      <c r="I27" s="21"/>
      <c r="J27" s="75"/>
    </row>
    <row r="28" spans="1:14" ht="6.75" customHeight="1" thickTop="1">
      <c r="A28" s="2"/>
      <c r="B28" s="2"/>
      <c r="C28" s="2"/>
      <c r="D28" s="2"/>
      <c r="E28" s="2"/>
      <c r="F28" s="2"/>
      <c r="G28" s="2"/>
      <c r="H28" s="2"/>
      <c r="I28" s="2"/>
      <c r="J28" s="42"/>
    </row>
    <row r="29" spans="1:14" ht="15.75">
      <c r="A29" s="2"/>
      <c r="B29" s="2"/>
      <c r="C29" s="2"/>
      <c r="D29" s="2"/>
      <c r="E29" s="2"/>
      <c r="F29" s="2"/>
      <c r="G29" s="2"/>
      <c r="H29" s="2"/>
      <c r="I29" s="54" t="s">
        <v>56</v>
      </c>
      <c r="J29" s="2"/>
    </row>
    <row r="30" spans="1:14" ht="15.7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4" ht="15.75">
      <c r="A31" s="2"/>
      <c r="B31" s="2" t="s">
        <v>22</v>
      </c>
      <c r="C31" s="2"/>
      <c r="D31" s="2"/>
      <c r="E31" s="2"/>
      <c r="F31" s="2"/>
      <c r="G31" s="2"/>
      <c r="H31" s="2" t="s">
        <v>23</v>
      </c>
      <c r="I31" s="2"/>
      <c r="J31" s="2"/>
      <c r="N31" s="1">
        <v>83702314</v>
      </c>
    </row>
    <row r="32" spans="1:14" ht="15.75">
      <c r="A32" s="2"/>
      <c r="B32" s="2" t="s">
        <v>13</v>
      </c>
      <c r="C32" s="70">
        <f>I26</f>
        <v>9896500</v>
      </c>
      <c r="D32" s="70"/>
      <c r="E32" s="70"/>
      <c r="F32" s="22"/>
      <c r="G32" s="2"/>
      <c r="H32" s="2" t="s">
        <v>13</v>
      </c>
      <c r="I32" s="43">
        <f>C32</f>
        <v>9896500</v>
      </c>
      <c r="J32" s="2"/>
    </row>
    <row r="33" spans="1:14" ht="15.75">
      <c r="A33" s="2"/>
      <c r="B33" s="2"/>
      <c r="C33" s="2"/>
      <c r="D33" s="2"/>
      <c r="E33" s="2"/>
      <c r="F33" s="2"/>
      <c r="G33" s="2"/>
      <c r="H33" s="2"/>
      <c r="I33" s="2"/>
      <c r="J33" s="2"/>
      <c r="N33" s="1" t="e">
        <f>N26-N31</f>
        <v>#REF!</v>
      </c>
    </row>
    <row r="34" spans="1:14" ht="15.7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4" ht="15.75">
      <c r="A35" s="2"/>
      <c r="B35" s="71" t="s">
        <v>24</v>
      </c>
      <c r="C35" s="71"/>
      <c r="D35" s="71"/>
      <c r="E35" s="71"/>
      <c r="F35" s="60"/>
      <c r="G35" s="2"/>
      <c r="H35" s="2"/>
      <c r="I35" s="71" t="s">
        <v>25</v>
      </c>
      <c r="J35" s="71"/>
    </row>
    <row r="36" spans="1:14" ht="15.75">
      <c r="A36" s="71"/>
      <c r="B36" s="71"/>
      <c r="C36" s="71"/>
      <c r="D36" s="71"/>
      <c r="E36" s="71"/>
      <c r="F36" s="60"/>
      <c r="H36" s="2"/>
      <c r="I36" s="60"/>
      <c r="J36" s="60"/>
    </row>
    <row r="37" spans="1:14" ht="15.7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4" ht="15.7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4" ht="15.75">
      <c r="A39" s="73" t="s">
        <v>26</v>
      </c>
      <c r="B39" s="73"/>
      <c r="C39" s="73"/>
      <c r="D39" s="73"/>
      <c r="E39" s="73"/>
      <c r="F39" s="23"/>
      <c r="G39" s="2"/>
      <c r="H39" s="2"/>
      <c r="I39" s="73" t="str">
        <f>E3</f>
        <v>Ade Dwi Putra, SE</v>
      </c>
      <c r="J39" s="73"/>
    </row>
    <row r="40" spans="1:14" ht="15.75">
      <c r="A40" s="71" t="s">
        <v>27</v>
      </c>
      <c r="B40" s="71"/>
      <c r="C40" s="71"/>
      <c r="D40" s="71"/>
      <c r="E40" s="71"/>
      <c r="F40" s="24"/>
      <c r="G40" s="2"/>
      <c r="H40" s="2"/>
      <c r="I40" s="2"/>
      <c r="J40" s="2"/>
    </row>
    <row r="41" spans="1:14" ht="15.75">
      <c r="A41" s="2"/>
      <c r="B41" s="60"/>
      <c r="C41" s="60"/>
      <c r="D41" s="60"/>
      <c r="E41" s="60"/>
      <c r="F41" s="60"/>
      <c r="G41" s="2"/>
      <c r="H41" s="2"/>
      <c r="I41" s="2"/>
      <c r="J41" s="2"/>
    </row>
    <row r="42" spans="1:14" ht="15.7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4" ht="18.75">
      <c r="A43" s="72" t="s">
        <v>28</v>
      </c>
      <c r="B43" s="72"/>
      <c r="C43" s="72"/>
      <c r="D43" s="72"/>
      <c r="E43" s="72"/>
      <c r="F43" s="72"/>
      <c r="G43" s="72"/>
      <c r="H43" s="72"/>
      <c r="I43" s="72"/>
      <c r="J43" s="72"/>
    </row>
    <row r="44" spans="1:14" ht="15.7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4" ht="15.75">
      <c r="A45" s="2" t="s">
        <v>29</v>
      </c>
      <c r="B45" s="2"/>
      <c r="C45" s="2"/>
      <c r="D45" s="2"/>
      <c r="E45" s="2"/>
      <c r="F45" s="2" t="s">
        <v>13</v>
      </c>
      <c r="G45" s="25">
        <f>I32</f>
        <v>9896500</v>
      </c>
      <c r="H45" s="2"/>
      <c r="I45" s="2"/>
      <c r="J45" s="2"/>
    </row>
    <row r="46" spans="1:14" ht="15.75">
      <c r="A46" s="2" t="s">
        <v>30</v>
      </c>
      <c r="B46" s="2"/>
      <c r="C46" s="2"/>
      <c r="D46" s="2"/>
      <c r="E46" s="2"/>
      <c r="F46" s="2" t="s">
        <v>13</v>
      </c>
      <c r="G46" s="26"/>
      <c r="H46" s="2"/>
      <c r="I46" s="2"/>
      <c r="J46" s="2"/>
    </row>
    <row r="47" spans="1:14" ht="15.75">
      <c r="A47" s="2" t="s">
        <v>31</v>
      </c>
      <c r="B47" s="2"/>
      <c r="C47" s="2"/>
      <c r="D47" s="2"/>
      <c r="E47" s="2"/>
      <c r="F47" s="2" t="s">
        <v>13</v>
      </c>
      <c r="G47" s="26"/>
      <c r="H47" s="2"/>
      <c r="I47" s="2"/>
      <c r="J47" s="2"/>
    </row>
    <row r="48" spans="1:14" ht="15.75">
      <c r="A48" s="2"/>
      <c r="B48" s="2"/>
      <c r="C48" s="2"/>
      <c r="D48" s="2"/>
      <c r="E48" s="2"/>
      <c r="F48" s="2"/>
      <c r="G48" s="26"/>
      <c r="H48" s="2"/>
      <c r="I48" s="2"/>
      <c r="J48" s="2"/>
    </row>
    <row r="49" spans="1:10" ht="15.75">
      <c r="A49" s="2"/>
      <c r="B49" s="2"/>
      <c r="C49" s="2"/>
      <c r="D49" s="2"/>
      <c r="E49" s="2"/>
      <c r="F49" s="2"/>
      <c r="G49" s="71" t="s">
        <v>32</v>
      </c>
      <c r="H49" s="71"/>
      <c r="I49" s="71"/>
      <c r="J49" s="71"/>
    </row>
    <row r="50" spans="1:10" ht="15.75">
      <c r="A50" s="2"/>
      <c r="B50" s="2"/>
      <c r="C50" s="2"/>
      <c r="D50" s="2"/>
      <c r="E50" s="2"/>
      <c r="F50" s="2"/>
      <c r="G50" s="60"/>
      <c r="H50" s="60"/>
      <c r="I50" s="60"/>
      <c r="J50" s="60"/>
    </row>
    <row r="51" spans="1:10" ht="15.7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7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75">
      <c r="A53" s="2"/>
      <c r="B53" s="2"/>
      <c r="C53" s="2"/>
      <c r="D53" s="2"/>
      <c r="E53" s="2"/>
      <c r="F53" s="2"/>
      <c r="G53" s="73" t="s">
        <v>33</v>
      </c>
      <c r="H53" s="73"/>
      <c r="I53" s="73"/>
      <c r="J53" s="73"/>
    </row>
    <row r="54" spans="1:10" ht="15.75">
      <c r="A54" s="2"/>
      <c r="B54" s="2"/>
      <c r="C54" s="2"/>
      <c r="D54" s="2"/>
      <c r="E54" s="2"/>
      <c r="F54" s="2"/>
      <c r="G54" s="71" t="s">
        <v>34</v>
      </c>
      <c r="H54" s="71"/>
      <c r="I54" s="71"/>
      <c r="J54" s="71"/>
    </row>
    <row r="55" spans="1:10">
      <c r="A55" s="27"/>
      <c r="B55" s="27"/>
      <c r="C55" s="27"/>
      <c r="D55" s="27"/>
      <c r="E55" s="27"/>
      <c r="F55" s="27"/>
      <c r="G55" s="27"/>
      <c r="H55" s="27"/>
      <c r="I55" s="27"/>
      <c r="J55" s="27"/>
    </row>
    <row r="56" spans="1:10">
      <c r="A56" s="27"/>
      <c r="B56" s="27"/>
      <c r="C56" s="27"/>
      <c r="D56" s="27"/>
      <c r="E56" s="27"/>
      <c r="F56" s="27"/>
      <c r="G56" s="27"/>
      <c r="H56" s="27"/>
      <c r="I56" s="27"/>
      <c r="J56" s="27"/>
    </row>
    <row r="57" spans="1:10">
      <c r="A57" s="27"/>
      <c r="B57" s="27"/>
      <c r="C57" s="27"/>
      <c r="D57" s="27"/>
      <c r="E57" s="27"/>
      <c r="F57" s="27"/>
      <c r="G57" s="27"/>
      <c r="H57" s="27"/>
      <c r="I57" s="27"/>
      <c r="J57" s="27"/>
    </row>
    <row r="58" spans="1:10">
      <c r="A58" s="27"/>
      <c r="B58" s="27"/>
      <c r="C58" s="27"/>
      <c r="D58" s="27"/>
      <c r="E58" s="27"/>
      <c r="F58" s="27"/>
      <c r="G58" s="27"/>
      <c r="H58" s="27"/>
      <c r="I58" s="27"/>
      <c r="J58" s="27"/>
    </row>
  </sheetData>
  <mergeCells count="20">
    <mergeCell ref="G53:J53"/>
    <mergeCell ref="G54:J54"/>
    <mergeCell ref="A36:E36"/>
    <mergeCell ref="A39:E39"/>
    <mergeCell ref="I39:J39"/>
    <mergeCell ref="A40:E40"/>
    <mergeCell ref="A43:J43"/>
    <mergeCell ref="G49:J49"/>
    <mergeCell ref="C12:D12"/>
    <mergeCell ref="C15:D15"/>
    <mergeCell ref="J26:J27"/>
    <mergeCell ref="C32:E32"/>
    <mergeCell ref="B35:E35"/>
    <mergeCell ref="I35:J35"/>
    <mergeCell ref="C11:D11"/>
    <mergeCell ref="A1:J1"/>
    <mergeCell ref="B7:G7"/>
    <mergeCell ref="H7:I7"/>
    <mergeCell ref="B8:G8"/>
    <mergeCell ref="H8:I8"/>
  </mergeCells>
  <pageMargins left="0.70866141732283472" right="0.70866141732283472" top="0.74803149606299213" bottom="0.74803149606299213" header="0.31496062992125984" footer="0.31496062992125984"/>
  <pageSetup scale="7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kasek jkt</vt:lpstr>
      <vt:lpstr>kasek bna</vt:lpstr>
      <vt:lpstr>mus bna</vt:lpstr>
      <vt:lpstr>Ade jkt1</vt:lpstr>
      <vt:lpstr>'Ade jkt1'!Print_Area</vt:lpstr>
      <vt:lpstr>'kasek bna'!Print_Area</vt:lpstr>
      <vt:lpstr>'kasek jkt'!Print_Area</vt:lpstr>
      <vt:lpstr>'mus bna'!Print_Area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BPP</cp:lastModifiedBy>
  <cp:lastPrinted>2024-12-11T13:05:56Z</cp:lastPrinted>
  <dcterms:created xsi:type="dcterms:W3CDTF">2013-05-07T09:31:00Z</dcterms:created>
  <dcterms:modified xsi:type="dcterms:W3CDTF">2026-09-16T09:15:21Z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BBC797A972734328831D0137E7E343EF_12</vt:lpwstr>
  </property>
  <property fmtid="{D5CDD505-2E9C-101B-9397-08002B2CF9AE}" pid="3" name="KSOProductBuildVer">
    <vt:lpwstr>1033-12.2.0.13359</vt:lpwstr>
  </property>
</Properties>
</file>